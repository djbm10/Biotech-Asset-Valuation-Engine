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Rights" sheetId="2" state="visible" r:id="rId2"/>
    <sheet xmlns:r="http://schemas.openxmlformats.org/officeDocument/2006/relationships" name="Shortlist" sheetId="3" state="visible" r:id="rId3"/>
    <sheet xmlns:r="http://schemas.openxmlformats.org/officeDocument/2006/relationships" name="Val_CL-07" sheetId="4" state="visible" r:id="rId4"/>
    <sheet xmlns:r="http://schemas.openxmlformats.org/officeDocument/2006/relationships" name="Val_CL-16" sheetId="5" state="visible" r:id="rId5"/>
    <sheet xmlns:r="http://schemas.openxmlformats.org/officeDocument/2006/relationships" name="Val_CL-27" sheetId="6" state="visible" r:id="rId6"/>
  </sheets>
  <definedNames>
    <definedName name="_xlnm._FilterDatabase" localSheetId="0" hidden="1">'Tracker'!$A$1:$AB$63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ID</t>
        </is>
      </c>
      <c r="B1" s="1" t="inlineStr">
        <is>
          <t>Program</t>
        </is>
      </c>
      <c r="C1" s="1" t="inlineStr">
        <is>
          <t>Aliases</t>
        </is>
      </c>
      <c r="D1" s="1" t="inlineStr">
        <is>
          <t>Target</t>
        </is>
      </c>
      <c r="E1" s="1" t="inlineStr">
        <is>
          <t>Mechanism</t>
        </is>
      </c>
      <c r="F1" s="1" t="inlineStr">
        <is>
          <t>Modality</t>
        </is>
      </c>
      <c r="G1" s="1" t="inlineStr">
        <is>
          <t>Therapeutic Area</t>
        </is>
      </c>
      <c r="H1" s="1" t="inlineStr">
        <is>
          <t>Indication</t>
        </is>
      </c>
      <c r="I1" s="1" t="inlineStr">
        <is>
          <t>Highest Phase</t>
        </is>
      </c>
      <c r="J1" s="1" t="inlineStr">
        <is>
          <t>Status</t>
        </is>
      </c>
      <c r="K1" s="1" t="inlineStr">
        <is>
          <t>Status Date</t>
        </is>
      </c>
      <c r="L1" s="1" t="inlineStr">
        <is>
          <t>Company</t>
        </is>
      </c>
      <c r="M1" s="1" t="inlineStr">
        <is>
          <t>Trial IDs</t>
        </is>
      </c>
      <c r="N1" s="1" t="inlineStr">
        <is>
          <t>US Rights</t>
        </is>
      </c>
      <c r="O1" s="1" t="inlineStr">
        <is>
          <t>US Rights Holder</t>
        </is>
      </c>
      <c r="P1" s="1" t="inlineStr">
        <is>
          <t>Geographic Notes</t>
        </is>
      </c>
      <c r="Q1" s="1" t="inlineStr">
        <is>
          <t>Partnerships</t>
        </is>
      </c>
      <c r="R1" s="1" t="inlineStr">
        <is>
          <t>Sources</t>
        </is>
      </c>
      <c r="S1" s="1" t="inlineStr">
        <is>
          <t>Source Date</t>
        </is>
      </c>
      <c r="T1" s="1" t="inlineStr">
        <is>
          <t>Notes</t>
        </is>
      </c>
      <c r="U1" s="1" t="inlineStr">
        <is>
          <t>Same molecule as</t>
        </is>
      </c>
      <c r="V1" s="1" t="inlineStr">
        <is>
          <t>Target fit</t>
        </is>
      </c>
      <c r="W1" s="1" t="inlineStr">
        <is>
          <t>Modality fit</t>
        </is>
      </c>
      <c r="X1" s="1" t="inlineStr">
        <is>
          <t>Indication fit</t>
        </is>
      </c>
      <c r="Y1" s="1" t="inlineStr">
        <is>
          <t>Phase fit</t>
        </is>
      </c>
      <c r="Z1" s="1" t="inlineStr">
        <is>
          <t>Scientific call (IN/OUT/UNRESOLVED)</t>
        </is>
      </c>
      <c r="AA1" s="1" t="inlineStr">
        <is>
          <t>Reason</t>
        </is>
      </c>
      <c r="AB1" s="1" t="inlineStr">
        <is>
          <t>Evidence (URL + quote)</t>
        </is>
      </c>
    </row>
    <row r="2">
      <c r="A2" t="inlineStr">
        <is>
          <t>CL-01</t>
        </is>
      </c>
      <c r="B2" t="inlineStr">
        <is>
          <t>Zolbetuximab</t>
        </is>
      </c>
      <c r="C2" t="inlineStr">
        <is>
          <t>Vyloy; IMAB362; VYLOY</t>
        </is>
      </c>
      <c r="D2" t="inlineStr">
        <is>
          <t>Claudin 18.2; HER2</t>
        </is>
      </c>
      <c r="E2" t="inlineStr"/>
      <c r="F2" t="inlineStr">
        <is>
          <t>Monoclonal antibody</t>
        </is>
      </c>
      <c r="G2" t="inlineStr">
        <is>
          <t>Oncology</t>
        </is>
      </c>
      <c r="H2" t="inlineStr">
        <is>
          <t>CLDN18.2-Positive Gastric Cancer; CLDN18.2-Positive Gastroesophageal Junction Adenocarcinoma; Advanced Biliary Tract Cancer; Metastatic Biliary Tract Carcinoma; Locally Advanced Unresectable Gastroesophageal Junction (GEJ) Adenocarcinoma or Cancer; Locally Advanced Unresectable Gastric Adenocarcinoma or Cancer</t>
        </is>
      </c>
      <c r="I2" t="inlineStr">
        <is>
          <t>Marketed</t>
        </is>
      </c>
      <c r="J2" t="inlineStr">
        <is>
          <t>Marketed in U.S. (FDA label lists gastric/GEJ adenocarcinoma)</t>
        </is>
      </c>
      <c r="K2" t="inlineStr">
        <is>
          <t>2026-10-20</t>
        </is>
      </c>
      <c r="L2" t="inlineStr">
        <is>
          <t>Astellas Pharma US, Inc.</t>
        </is>
      </c>
      <c r="M2" t="inlineStr">
        <is>
          <t>NCT07872722; NCT07723534; NCT07829757; NCT06732856; NCT01630083; NCT06881017; NCT03528629; NCT03816163; NCT06962137; NCT03505320; NCT03504397; NCT06396091; NCT06901531; NCT07431281; NCT03653507; NCT07290985; NCT06468280</t>
        </is>
      </c>
      <c r="N2" t="inlineStr"/>
      <c r="O2" t="inlineStr">
        <is>
          <t>Astellas Pharma US, Inc. (U.S. labeler per FDA label; not a rights statement)</t>
        </is>
      </c>
      <c r="P2" t="inlineStr"/>
      <c r="Q2" t="inlineStr">
        <is>
          <t>Astellas Pharma Inc; BeOne Medicines; Jazz Pharmaceuticals; Natera, Inc.; Roche Diagnostics GmbH; University of Alabama at Birmingham; University of Michigan</t>
        </is>
      </c>
      <c r="R2" t="inlineStr">
        <is>
          <t>https://clinicaltrials.gov/study/NCT07872722; https://clinicaltrials.gov/study/NCT07723534; https://clinicaltrials.gov/study/NCT07829757; https://clinicaltrials.gov/study/NCT06732856; https://clinicaltrials.gov/study/NCT01630083</t>
        </is>
      </c>
      <c r="S2" t="inlineStr">
        <is>
          <t>2026-10-29</t>
        </is>
      </c>
      <c r="T2" t="inlineStr"/>
      <c r="U2" t="inlineStr">
        <is>
          <t>CL-02</t>
        </is>
      </c>
      <c r="V2" t="inlineStr">
        <is>
          <t>Y</t>
        </is>
      </c>
      <c r="W2" t="inlineStr">
        <is>
          <t>N</t>
        </is>
      </c>
      <c r="X2" t="inlineStr">
        <is>
          <t>Y</t>
        </is>
      </c>
      <c r="Y2" t="inlineStr">
        <is>
          <t>Y</t>
        </is>
      </c>
      <c r="Z2" t="inlineStr">
        <is>
          <t>OUT</t>
        </is>
      </c>
      <c r="AA2" t="inlineStr">
        <is>
          <t>Naked mAb (excluded modality); marketed (Vyloy)</t>
        </is>
      </c>
      <c r="AB2" t="inlineStr">
        <is>
          <t>https://api.fda.gov/drug/label.json?search=openfda.generic_name:zolbetuximab — "Zolbetuximab-clzb is a claudin 18.2 (CLDN18.2)-directed cytolytic antibody that depletes CLDN18.2-positive cells via antibody-dependent cellular cytotoxicity (ADCC) and complement-dependent cytotoxicity (CDC)."</t>
        </is>
      </c>
    </row>
    <row r="3">
      <c r="A3" t="inlineStr">
        <is>
          <t>CL-02</t>
        </is>
      </c>
      <c r="B3" t="inlineStr">
        <is>
          <t>IMAB362</t>
        </is>
      </c>
      <c r="C3" t="inlineStr">
        <is>
          <t>Vyloy; IMAB362; VYLOY</t>
        </is>
      </c>
      <c r="D3" t="inlineStr">
        <is>
          <t>Claudin 18.2</t>
        </is>
      </c>
      <c r="E3" t="inlineStr"/>
      <c r="F3" t="inlineStr">
        <is>
          <t>Monoclonal antibody</t>
        </is>
      </c>
      <c r="G3" t="inlineStr">
        <is>
          <t>Oncology</t>
        </is>
      </c>
      <c r="H3" t="inlineStr">
        <is>
          <t>Locally Advanced Unresectable Gastroesophageal Junction (GEJ) Adenocarcinoma or Cancer; Locally Advanced Unresectable Gastric Adenocarcinoma or Cancer; Metastatic Gastric Adenocarcinoma or Cancer; Metastatic Gastroesophageal Junction (GEJ) Adenocarcinoma; CLDN18.2-positive Adenocarcinoma of the Gastroesophageal Junction; CLDN18.2-positive Adenocarcinoma of Esophagus</t>
        </is>
      </c>
      <c r="I3" t="inlineStr">
        <is>
          <t>Phase 4</t>
        </is>
      </c>
      <c r="J3" t="inlineStr">
        <is>
          <t>Active trial in registry</t>
        </is>
      </c>
      <c r="K3" t="inlineStr">
        <is>
          <t>2026-10-20</t>
        </is>
      </c>
      <c r="L3" t="inlineStr">
        <is>
          <t>Astellas Pharma Global Development, Inc.</t>
        </is>
      </c>
      <c r="M3" t="inlineStr">
        <is>
          <t>NCT07829757; NCT01630083; NCT03528629; NCT03816163; NCT03505320; NCT03504397; NCT06396091; NCT06901531; NCT01671774; NCT03653507</t>
        </is>
      </c>
      <c r="N3" t="inlineStr"/>
      <c r="O3" t="inlineStr"/>
      <c r="P3" t="inlineStr"/>
      <c r="Q3" t="inlineStr"/>
      <c r="R3" t="inlineStr">
        <is>
          <t>https://clinicaltrials.gov/study/NCT07829757; https://clinicaltrials.gov/study/NCT01630083; https://clinicaltrials.gov/study/NCT03528629; https://clinicaltrials.gov/study/NCT03816163; https://clinicaltrials.gov/study/NCT03505320</t>
        </is>
      </c>
      <c r="S3" t="inlineStr">
        <is>
          <t>2026-10-29</t>
        </is>
      </c>
      <c r="T3" t="inlineStr"/>
      <c r="U3" t="inlineStr">
        <is>
          <t>CL-01</t>
        </is>
      </c>
      <c r="V3" t="inlineStr">
        <is>
          <t>Y</t>
        </is>
      </c>
      <c r="W3" t="inlineStr">
        <is>
          <t>N</t>
        </is>
      </c>
      <c r="X3" t="inlineStr">
        <is>
          <t>Y</t>
        </is>
      </c>
      <c r="Y3" t="inlineStr">
        <is>
          <t>Y</t>
        </is>
      </c>
      <c r="Z3" t="inlineStr">
        <is>
          <t>OUT</t>
        </is>
      </c>
      <c r="AA3" t="inlineStr">
        <is>
          <t>Same molecule as zolbetuximab; naked mAb</t>
        </is>
      </c>
      <c r="AB3" t="inlineStr">
        <is>
          <t>https://api-evsrest.nci.nih.gov/api/v1/concept/ncit/C85475?include=summary — "A chimeric immunoglobulin G1 (IgG1) monoclonal antibody directed against the tumor-associated antigen (TAA) Claudin18.2 (CLDN18.2; A2 isoform of claudin-18), with potential immunostimulating and antineoplastic activities"</t>
        </is>
      </c>
    </row>
    <row r="4">
      <c r="A4" t="inlineStr">
        <is>
          <t>CL-03</t>
        </is>
      </c>
      <c r="B4" t="inlineStr">
        <is>
          <t>AZD0901</t>
        </is>
      </c>
      <c r="C4" t="inlineStr">
        <is>
          <t>CMG901; Sonesitatug Vedotin; AZD0901</t>
        </is>
      </c>
      <c r="D4" t="inlineStr">
        <is>
          <t>Claudin 18.2</t>
        </is>
      </c>
      <c r="E4" t="inlineStr"/>
      <c r="F4" t="inlineStr">
        <is>
          <t>Antibody-drug conjugate</t>
        </is>
      </c>
      <c r="G4" t="inlineStr">
        <is>
          <t>Oncology</t>
        </is>
      </c>
      <c r="H4" t="inlineStr">
        <is>
          <t>Gastric Cancer; Gastroesophageal Junction Cancer; Biliary Tract Cancer; Pancreatic Ductal Adenocarcinoma; Gastroesophageal Junction Adenocarcinoma; Esophageal Cancer</t>
        </is>
      </c>
      <c r="I4" t="inlineStr">
        <is>
          <t>Phase 3</t>
        </is>
      </c>
      <c r="J4" t="inlineStr">
        <is>
          <t>Active trial in registry</t>
        </is>
      </c>
      <c r="K4" t="inlineStr">
        <is>
          <t>2026-10-16</t>
        </is>
      </c>
      <c r="L4" t="inlineStr">
        <is>
          <t>AstraZeneca</t>
        </is>
      </c>
      <c r="M4" t="inlineStr">
        <is>
          <t>NCT06219941; NCT06346392; NCT07143604; NCT07431281; NCT05702229</t>
        </is>
      </c>
      <c r="N4" t="inlineStr"/>
      <c r="O4" t="inlineStr"/>
      <c r="P4" t="inlineStr"/>
      <c r="Q4" t="inlineStr"/>
      <c r="R4" t="inlineStr">
        <is>
          <t>https://clinicaltrials.gov/study/NCT06219941; https://clinicaltrials.gov/study/NCT06346392; https://clinicaltrials.gov/study/NCT07143604; https://clinicaltrials.gov/study/NCT07431281; https://clinicaltrials.gov/study/NCT05702229</t>
        </is>
      </c>
      <c r="S4" t="inlineStr">
        <is>
          <t>2026-10-29</t>
        </is>
      </c>
      <c r="T4" t="inlineStr"/>
      <c r="U4" t="inlineStr">
        <is>
          <t>CL-04; CL-05</t>
        </is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>
        <is>
          <t>Y</t>
        </is>
      </c>
      <c r="Z4" t="inlineStr">
        <is>
          <t>IN</t>
        </is>
      </c>
      <c r="AA4" t="inlineStr">
        <is>
          <t>CLDN18.2 MMAE ADC; Phase 3 gastric/GEJ</t>
        </is>
      </c>
      <c r="AB4" t="inlineStr">
        <is>
          <t>https://api-evsrest.nci.nih.gov/api/v1/concept/ncit/C180413?include=summary — "An antibody-drug conjugate (ADC) composed of sonesitatug, a monoclonal antibody directed against the tumor-associated antigen (TAA) Claudin18.2 (CLDN18.2; A2 isoform of claudin-18), conjugated, via a cleavable linker, to"</t>
        </is>
      </c>
    </row>
    <row r="5">
      <c r="A5" t="inlineStr">
        <is>
          <t>CL-04</t>
        </is>
      </c>
      <c r="B5" t="inlineStr">
        <is>
          <t>CMG901</t>
        </is>
      </c>
      <c r="C5" t="inlineStr">
        <is>
          <t>CMG901</t>
        </is>
      </c>
      <c r="D5" t="inlineStr">
        <is>
          <t>Claudin 18.2</t>
        </is>
      </c>
      <c r="E5" t="inlineStr"/>
      <c r="F5" t="inlineStr">
        <is>
          <t>Antibody-drug conjugate</t>
        </is>
      </c>
      <c r="G5" t="inlineStr">
        <is>
          <t>Oncology</t>
        </is>
      </c>
      <c r="H5" t="inlineStr">
        <is>
          <t>Gastric Cancer; Gastroesophageal Junction Cancer; Biliary Tract Cancer; Pancreatic Ductal Adenocarcinoma; Advanced Solid Tumor; Gastric Cancer(Including Gastroesophageal Junction Adenocarcinoma)</t>
        </is>
      </c>
      <c r="I5" t="inlineStr">
        <is>
          <t>Phase 2</t>
        </is>
      </c>
      <c r="J5" t="inlineStr">
        <is>
          <t>Active trial in registry</t>
        </is>
      </c>
      <c r="K5" t="inlineStr">
        <is>
          <t>2026-09-30</t>
        </is>
      </c>
      <c r="L5" t="inlineStr">
        <is>
          <t>AstraZeneca</t>
        </is>
      </c>
      <c r="M5" t="inlineStr">
        <is>
          <t>NCT06219941; NCT04805307</t>
        </is>
      </c>
      <c r="N5" t="inlineStr"/>
      <c r="O5" t="inlineStr"/>
      <c r="P5" t="inlineStr"/>
      <c r="Q5" t="inlineStr"/>
      <c r="R5" t="inlineStr">
        <is>
          <t>https://clinicaltrials.gov/study/NCT06219941; https://clinicaltrials.gov/study/NCT04805307</t>
        </is>
      </c>
      <c r="S5" t="inlineStr">
        <is>
          <t>2026-10-29</t>
        </is>
      </c>
      <c r="T5" t="inlineStr"/>
      <c r="U5" t="inlineStr">
        <is>
          <t>CL-03; CL-05</t>
        </is>
      </c>
      <c r="V5" t="inlineStr">
        <is>
          <t>Y</t>
        </is>
      </c>
      <c r="W5" t="inlineStr">
        <is>
          <t>Y</t>
        </is>
      </c>
      <c r="X5" t="inlineStr">
        <is>
          <t>Y</t>
        </is>
      </c>
      <c r="Y5" t="inlineStr">
        <is>
          <t>Y</t>
        </is>
      </c>
      <c r="Z5" t="inlineStr">
        <is>
          <t>IN</t>
        </is>
      </c>
      <c r="AA5" t="inlineStr">
        <is>
          <t>CLDN18.2 ADC (CMG901 = sonesitatug vedotin)</t>
        </is>
      </c>
      <c r="AB5" t="inlineStr">
        <is>
          <t>https://api-evsrest.nci.nih.gov/api/v1/concept/ncit/C180413?include=summary — "An antibody-drug conjugate (ADC) composed of sonesitatug, a monoclonal antibody directed against the tumor-associated antigen (TAA) Claudin18.2 (CLDN18.2; A2 isoform of claudin-18), conjugated, via a cleavable linker, to"</t>
        </is>
      </c>
    </row>
    <row r="6">
      <c r="A6" t="inlineStr">
        <is>
          <t>CL-05</t>
        </is>
      </c>
      <c r="B6" t="inlineStr">
        <is>
          <t>Sonesitatug vedotin</t>
        </is>
      </c>
      <c r="C6" t="inlineStr">
        <is>
          <t>Sonesitatug Vedotin; AZD0901</t>
        </is>
      </c>
      <c r="D6" t="inlineStr">
        <is>
          <t>Claudin 18.2</t>
        </is>
      </c>
      <c r="E6" t="inlineStr"/>
      <c r="F6" t="inlineStr">
        <is>
          <t>Antibody-drug conjugate</t>
        </is>
      </c>
      <c r="G6" t="inlineStr">
        <is>
          <t>Oncology</t>
        </is>
      </c>
      <c r="H6" t="inlineStr">
        <is>
          <t>Gastric Cancer; Gastroesophageal Junction Cancer; Gastroesophageal Junction Adenocarcinoma; Esophageal Cancer</t>
        </is>
      </c>
      <c r="I6" t="inlineStr">
        <is>
          <t>Phase 3</t>
        </is>
      </c>
      <c r="J6" t="inlineStr">
        <is>
          <t>Active trial in registry</t>
        </is>
      </c>
      <c r="K6" t="inlineStr">
        <is>
          <t>2026-10-16</t>
        </is>
      </c>
      <c r="L6" t="inlineStr">
        <is>
          <t>AstraZeneca</t>
        </is>
      </c>
      <c r="M6" t="inlineStr">
        <is>
          <t>NCT06346392; NCT07143604; NCT07431281</t>
        </is>
      </c>
      <c r="N6" t="inlineStr"/>
      <c r="O6" t="inlineStr"/>
      <c r="P6" t="inlineStr"/>
      <c r="Q6" t="inlineStr"/>
      <c r="R6" t="inlineStr">
        <is>
          <t>https://clinicaltrials.gov/study/NCT06346392; https://clinicaltrials.gov/study/NCT07143604; https://clinicaltrials.gov/study/NCT07431281</t>
        </is>
      </c>
      <c r="S6" t="inlineStr">
        <is>
          <t>2026-10-29</t>
        </is>
      </c>
      <c r="T6" t="inlineStr"/>
      <c r="U6" t="inlineStr">
        <is>
          <t>CL-03; CL-04</t>
        </is>
      </c>
      <c r="V6" t="inlineStr">
        <is>
          <t>Y</t>
        </is>
      </c>
      <c r="W6" t="inlineStr">
        <is>
          <t>Y</t>
        </is>
      </c>
      <c r="X6" t="inlineStr">
        <is>
          <t>Y</t>
        </is>
      </c>
      <c r="Y6" t="inlineStr">
        <is>
          <t>Y</t>
        </is>
      </c>
      <c r="Z6" t="inlineStr">
        <is>
          <t>IN</t>
        </is>
      </c>
      <c r="AA6" t="inlineStr">
        <is>
          <t>CLDN18.2 ADC; same molecule as CMG901/AZD0901</t>
        </is>
      </c>
      <c r="AB6" t="inlineStr">
        <is>
          <t>https://api-evsrest.nci.nih.gov/api/v1/concept/ncit/C180413?include=summary — "An antibody-drug conjugate (ADC) composed of sonesitatug, a monoclonal antibody directed against the tumor-associated antigen (TAA) Claudin18.2 (CLDN18.2; A2 isoform of claudin-18), conjugated, via a cleavable linker, to"</t>
        </is>
      </c>
    </row>
    <row r="7">
      <c r="A7" t="inlineStr">
        <is>
          <t>CL-06</t>
        </is>
      </c>
      <c r="B7" t="inlineStr">
        <is>
          <t>IBI343</t>
        </is>
      </c>
      <c r="C7" t="inlineStr">
        <is>
          <t>Arcotatug Tavatecan; AG regimen</t>
        </is>
      </c>
      <c r="D7" t="inlineStr">
        <is>
          <t>Claudin 18.2</t>
        </is>
      </c>
      <c r="E7" t="inlineStr"/>
      <c r="F7" t="inlineStr">
        <is>
          <t>Imaging agent</t>
        </is>
      </c>
      <c r="G7" t="inlineStr">
        <is>
          <t>Oncology</t>
        </is>
      </c>
      <c r="H7" t="inlineStr">
        <is>
          <t>Unresectable or Metastatic Gastric or Gastroesophageal Junction Adenocarcinoma; Pancreatic Cancer; Locally Advanced Unresectable or Metastatic Solid Tumors; Advanced Gastric/Gastroesophageal Junction Adenocarcinoma; Advanced Pancreatic Cancer; Borderline Resectable Pancreatic Adenocarcinoma</t>
        </is>
      </c>
      <c r="I7" t="inlineStr">
        <is>
          <t>Phase 3</t>
        </is>
      </c>
      <c r="J7" t="inlineStr">
        <is>
          <t>Active trial in registry</t>
        </is>
      </c>
      <c r="K7" t="inlineStr">
        <is>
          <t>2026-10-05</t>
        </is>
      </c>
      <c r="L7" t="inlineStr">
        <is>
          <t>Innovent Biologics (Suzhou) Co. Ltd.</t>
        </is>
      </c>
      <c r="M7" t="inlineStr">
        <is>
          <t>NCT06238843; NCT07066098; NCT05458219; NCT06321913; NCT07692750; NCT07415525; NCT07483554; NCT06770439; NCT07483567; NCT07025889</t>
        </is>
      </c>
      <c r="N7" t="inlineStr"/>
      <c r="O7" t="inlineStr"/>
      <c r="P7" t="inlineStr"/>
      <c r="Q7" t="inlineStr">
        <is>
          <t>Fortvita Biologics (USA)Inc.; Innovent Biologics (Suzhou) Co. Ltd.; Shanghai Jiao Tong University School of Medicine; TigerMed</t>
        </is>
      </c>
      <c r="R7" t="inlineStr">
        <is>
          <t>https://clinicaltrials.gov/study/NCT06238843; https://clinicaltrials.gov/study/NCT07066098; https://clinicaltrials.gov/study/NCT05458219; https://clinicaltrials.gov/study/NCT06321913; https://clinicaltrials.gov/study/NCT07692750</t>
        </is>
      </c>
      <c r="S7" t="inlineStr">
        <is>
          <t>2026-10-29</t>
        </is>
      </c>
      <c r="T7" t="inlineStr"/>
      <c r="U7" t="inlineStr"/>
      <c r="V7" t="inlineStr">
        <is>
          <t>Y</t>
        </is>
      </c>
      <c r="W7" t="inlineStr">
        <is>
          <t>Y</t>
        </is>
      </c>
      <c r="X7" t="inlineStr">
        <is>
          <t>Y</t>
        </is>
      </c>
      <c r="Y7" t="inlineStr">
        <is>
          <t>Y</t>
        </is>
      </c>
      <c r="Z7" t="inlineStr">
        <is>
          <t>IN</t>
        </is>
      </c>
      <c r="AA7" t="inlineStr">
        <is>
          <t>Landscape modality 'Imaging agent' is wrong: IBI343 is a CLDN18.2 ADC (NCIt, Takeda PR); Phase 3 G/GEJ</t>
        </is>
      </c>
      <c r="AB7" t="inlineStr">
        <is>
          <t>https://api-evsrest.nci.nih.gov/api/v1/concept/ncit/C189808?include=summary — "An antibody-drug conjugate (ADC) composed of arcotatug, a Fc-silenced humanized immunoglobulin G1 (IgG1) monoclonal antibody directed against the tumor-associated antigen (TAA) Claudin18.2 (CLDN18.2; A2 isoform of claudi"</t>
        </is>
      </c>
    </row>
    <row r="8">
      <c r="A8" t="inlineStr">
        <is>
          <t>CL-07</t>
        </is>
      </c>
      <c r="B8" t="inlineStr">
        <is>
          <t>LM-302</t>
        </is>
      </c>
      <c r="C8" t="inlineStr">
        <is>
          <t>ADC-Claudin18.2+AK104+Capecitabine; ClAUDIN 18.2-ADC</t>
        </is>
      </c>
      <c r="D8" t="inlineStr">
        <is>
          <t>Claudin 18.2</t>
        </is>
      </c>
      <c r="E8" t="inlineStr"/>
      <c r="F8" t="inlineStr">
        <is>
          <t>Antibody-drug conjugate</t>
        </is>
      </c>
      <c r="G8" t="inlineStr">
        <is>
          <t>Oncology</t>
        </is>
      </c>
      <c r="H8" t="inlineStr">
        <is>
          <t>Gastric or Gastroesophageal Junction Adenocarcinoma; Biliary Tract Cancer; Candonilimab; Claudin 18.2; Pancreatic Cancer; Chemotherapy Effect</t>
        </is>
      </c>
      <c r="I8" t="inlineStr">
        <is>
          <t>Phase 3</t>
        </is>
      </c>
      <c r="J8" t="inlineStr">
        <is>
          <t>Active trial in registry</t>
        </is>
      </c>
      <c r="K8" t="inlineStr">
        <is>
          <t>2026-10-19</t>
        </is>
      </c>
      <c r="L8" t="inlineStr">
        <is>
          <t>LaNova Medicines Zhejiang Co., Ltd.</t>
        </is>
      </c>
      <c r="M8" t="inlineStr">
        <is>
          <t>NCT06587425; NCT05994001; NCT07108504; NCT07556640; NCT05001516; NCT06519591; NCT05934331; NCT05161390; NCT06351020; NCT07385703; NCT07569068</t>
        </is>
      </c>
      <c r="N8" t="inlineStr"/>
      <c r="O8" t="inlineStr"/>
      <c r="P8" t="inlineStr"/>
      <c r="Q8" t="inlineStr">
        <is>
          <t>Affiliated Hospital of Jining Medical University; Shanghai Geriatric Medical Center; Xuhui Central Hospital, Shanghai</t>
        </is>
      </c>
      <c r="R8" t="inlineStr">
        <is>
          <t>https://clinicaltrials.gov/study/NCT06587425; https://clinicaltrials.gov/study/NCT05994001; https://clinicaltrials.gov/study/NCT07108504; https://clinicaltrials.gov/study/NCT07556640; https://clinicaltrials.gov/study/NCT05001516</t>
        </is>
      </c>
      <c r="S8" t="inlineStr">
        <is>
          <t>2026-10-29</t>
        </is>
      </c>
      <c r="T8" t="inlineStr"/>
      <c r="U8" t="inlineStr"/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>
        <is>
          <t>Y</t>
        </is>
      </c>
      <c r="Z8" t="inlineStr">
        <is>
          <t>IN</t>
        </is>
      </c>
      <c r="AA8" t="inlineStr">
        <is>
          <t>CLDN18.2 MMAE ADC; Phase 3 G/GEJ (China)</t>
        </is>
      </c>
      <c r="AB8" t="inlineStr">
        <is>
          <t>https://api-evsrest.nci.nih.gov/api/v1/concept/ncit/C185853?include=summary — "An antibody-drug conjugate (ADC) composed of a monoclonal antibody directed against the tumor-associated antigen (TAA) claudin 18.2 (CLDN18.2; A2 isoform of claudin-18) conjugated via a cleavable linker, to the microtubu"</t>
        </is>
      </c>
    </row>
    <row r="9">
      <c r="A9" t="inlineStr">
        <is>
          <t>CL-08</t>
        </is>
      </c>
      <c r="B9" t="inlineStr">
        <is>
          <t>SHR-A1904</t>
        </is>
      </c>
      <c r="C9" t="inlineStr"/>
      <c r="D9" t="inlineStr">
        <is>
          <t>Claudin 18.2</t>
        </is>
      </c>
      <c r="E9" t="inlineStr"/>
      <c r="F9" t="inlineStr">
        <is>
          <t>Antibody-drug conjugate</t>
        </is>
      </c>
      <c r="G9" t="inlineStr">
        <is>
          <t>Oncology</t>
        </is>
      </c>
      <c r="H9" t="inlineStr">
        <is>
          <t>Biliary Tract Cancer; Gastric Cancer; HER2 + Gastric Cancer; CLDN18.2-positive Adenocarcinoma of the Gastroesophageal Junction; PD-L1 Positive; Second-line Advanced or Metastatic Gastric or Gastroesophageal Junction Adenocarcinoma</t>
        </is>
      </c>
      <c r="I9" t="inlineStr">
        <is>
          <t>Phase 3</t>
        </is>
      </c>
      <c r="J9" t="inlineStr">
        <is>
          <t>Active trial in registry</t>
        </is>
      </c>
      <c r="K9" t="inlineStr">
        <is>
          <t>2026-05-15</t>
        </is>
      </c>
      <c r="L9" t="inlineStr">
        <is>
          <t>Shanghai Hengrui Pharmaceutical Co., Ltd.</t>
        </is>
      </c>
      <c r="M9" t="inlineStr">
        <is>
          <t>NCT07450976; NCT06881017; NCT06649292; NCT06350006</t>
        </is>
      </c>
      <c r="N9" t="inlineStr"/>
      <c r="O9" t="inlineStr"/>
      <c r="P9" t="inlineStr"/>
      <c r="Q9" t="inlineStr"/>
      <c r="R9" t="inlineStr">
        <is>
          <t>https://clinicaltrials.gov/study/NCT07450976; https://clinicaltrials.gov/study/NCT06881017; https://clinicaltrials.gov/study/NCT06649292; https://clinicaltrials.gov/study/NCT06350006</t>
        </is>
      </c>
      <c r="S9" t="inlineStr">
        <is>
          <t>2026-10-29</t>
        </is>
      </c>
      <c r="T9" t="inlineStr"/>
      <c r="U9" t="inlineStr"/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>
        <is>
          <t>Y</t>
        </is>
      </c>
      <c r="Z9" t="inlineStr">
        <is>
          <t>IN</t>
        </is>
      </c>
      <c r="AA9" t="inlineStr">
        <is>
          <t>CLDN18.2 ADC (garetatug rezetecan); Phase 3 G/GEJ</t>
        </is>
      </c>
      <c r="AB9" t="inlineStr">
        <is>
          <t>https://api-evsrest.nci.nih.gov/api/v1/concept/ncit/C181025?include=summary — "An antibody-drug conjugate (ADC) composed of garetatug, an immunoglobulin G1 (IgG1) monoclonal antibody directed against the tumor-associated antigen (TAA) Claudin 18.2 (CLDN18.2; A2 isoform of claudin-18) conjugated, vi"</t>
        </is>
      </c>
    </row>
    <row r="10">
      <c r="A10" t="inlineStr">
        <is>
          <t>CL-09</t>
        </is>
      </c>
      <c r="B10" t="inlineStr">
        <is>
          <t>TST001</t>
        </is>
      </c>
      <c r="C10" t="inlineStr"/>
      <c r="D10" t="inlineStr">
        <is>
          <t>Claudin 18.2</t>
        </is>
      </c>
      <c r="E10" t="inlineStr"/>
      <c r="F10" t="inlineStr">
        <is>
          <t>Monoclonal antibody</t>
        </is>
      </c>
      <c r="G10" t="inlineStr">
        <is>
          <t>Oncology</t>
        </is>
      </c>
      <c r="H10" t="inlineStr">
        <is>
          <t>Advanced Cancer; Gastric Cancer; Gastroesophageal-junction Cancer; Pancreatic Cancer; Biliary Tract Neoplasms</t>
        </is>
      </c>
      <c r="I10" t="inlineStr">
        <is>
          <t>Phase 2</t>
        </is>
      </c>
      <c r="J10" t="inlineStr">
        <is>
          <t>Active trial in registry</t>
        </is>
      </c>
      <c r="K10" t="inlineStr">
        <is>
          <t>2026-09-29</t>
        </is>
      </c>
      <c r="L10" t="inlineStr">
        <is>
          <t>Transcenta Therapeutics (Hangzhou) Co., Ltd.</t>
        </is>
      </c>
      <c r="M10" t="inlineStr">
        <is>
          <t>NCT04495296; NCT04396821; NCT05190575; NCT05608785</t>
        </is>
      </c>
      <c r="N10" t="inlineStr"/>
      <c r="O10" t="inlineStr"/>
      <c r="P10" t="inlineStr"/>
      <c r="Q10" t="inlineStr">
        <is>
          <t>Bristol-Myers Squibb; Transcenta Holding Limited</t>
        </is>
      </c>
      <c r="R10" t="inlineStr">
        <is>
          <t>https://clinicaltrials.gov/study/NCT04495296; https://clinicaltrials.gov/study/NCT04396821; https://clinicaltrials.gov/study/NCT05190575; https://clinicaltrials.gov/study/NCT05608785</t>
        </is>
      </c>
      <c r="S10" t="inlineStr">
        <is>
          <t>2026-10-29</t>
        </is>
      </c>
      <c r="T10" t="inlineStr"/>
      <c r="U10" t="inlineStr"/>
      <c r="V10" t="inlineStr">
        <is>
          <t>Y</t>
        </is>
      </c>
      <c r="W10" t="inlineStr">
        <is>
          <t>N</t>
        </is>
      </c>
      <c r="X10" t="inlineStr">
        <is>
          <t>Y</t>
        </is>
      </c>
      <c r="Y10" t="inlineStr">
        <is>
          <t>Y</t>
        </is>
      </c>
      <c r="Z10" t="inlineStr">
        <is>
          <t>OUT</t>
        </is>
      </c>
      <c r="AA10" t="inlineStr">
        <is>
          <t>Naked mAb (osemitamab)</t>
        </is>
      </c>
      <c r="AB10" t="inlineStr">
        <is>
          <t>https://api-evsrest.nci.nih.gov/api/v1/concept/ncit/C173726?include=summary — "A recombinant humanized immunoglobulin G1 (IgG1) monoclonal antibody directed against the tumor-associated antigen (TAA) Claudin18.2 (CLDN18.2; A2 isoform of claudin-18), with potential immunostimulating and antineoplast"</t>
        </is>
      </c>
    </row>
    <row r="11">
      <c r="A11" t="inlineStr">
        <is>
          <t>CL-10</t>
        </is>
      </c>
      <c r="B11" t="inlineStr">
        <is>
          <t>ASP2138</t>
        </is>
      </c>
      <c r="C11" t="inlineStr"/>
      <c r="D11" t="inlineStr">
        <is>
          <t>Claudin 18.2; CD3</t>
        </is>
      </c>
      <c r="E11" t="inlineStr"/>
      <c r="F11" t="inlineStr">
        <is>
          <t>Bispecific antibody</t>
        </is>
      </c>
      <c r="G11" t="inlineStr">
        <is>
          <t>Oncology</t>
        </is>
      </c>
      <c r="H11" t="inlineStr">
        <is>
          <t>Pancreatic Ductal Adenocarcinoma; Gastric Adenocarcinoma; Gastroesophageal Junction (GEJ) Adenocarcinoma; Pancreatic Adenocarcinoma</t>
        </is>
      </c>
      <c r="I11" t="inlineStr">
        <is>
          <t>Phase 3</t>
        </is>
      </c>
      <c r="J11" t="inlineStr">
        <is>
          <t>Active trial in registry</t>
        </is>
      </c>
      <c r="K11" t="inlineStr">
        <is>
          <t>2026-10-22</t>
        </is>
      </c>
      <c r="L11" t="inlineStr">
        <is>
          <t>Astellas Pharma Global Development, Inc.</t>
        </is>
      </c>
      <c r="M11" t="inlineStr">
        <is>
          <t>NCT07024615; NCT05365581; NCT07673887</t>
        </is>
      </c>
      <c r="N11" t="inlineStr"/>
      <c r="O11" t="inlineStr"/>
      <c r="P11" t="inlineStr"/>
      <c r="Q11" t="inlineStr"/>
      <c r="R11" t="inlineStr">
        <is>
          <t>https://clinicaltrials.gov/study/NCT07024615; https://clinicaltrials.gov/study/NCT05365581; https://clinicaltrials.gov/study/NCT07673887</t>
        </is>
      </c>
      <c r="S11" t="inlineStr">
        <is>
          <t>2026-10-29</t>
        </is>
      </c>
      <c r="T11" t="inlineStr"/>
      <c r="U11" t="inlineStr"/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>
        <is>
          <t>Y</t>
        </is>
      </c>
      <c r="Z11" t="inlineStr">
        <is>
          <t>IN</t>
        </is>
      </c>
      <c r="AA11" t="inlineStr">
        <is>
          <t>CLDN18.2xCD3 bispecific T-cell engager; Phase 3 G/GEJ</t>
        </is>
      </c>
      <c r="AB11" t="inlineStr">
        <is>
          <t>https://api-evsrest.nci.nih.gov/api/v1/concept/ncit/C187658?include=summary — "A bispecific antibody directed against the tumor-associated antigen (TAA) Claudin18.2 (CLDN18.2; A2 isoform of claudin-18) and the human T-cell surface antigen CD3, with potential immunostimulatory and antineoplastic act"</t>
        </is>
      </c>
    </row>
    <row r="12">
      <c r="A12" t="inlineStr">
        <is>
          <t>CL-11</t>
        </is>
      </c>
      <c r="B12" t="inlineStr">
        <is>
          <t>XNW27011</t>
        </is>
      </c>
      <c r="C12" t="inlineStr">
        <is>
          <t>XNW27011</t>
        </is>
      </c>
      <c r="D12" t="inlineStr">
        <is>
          <t>Claudin 18.2</t>
        </is>
      </c>
      <c r="E12" t="inlineStr"/>
      <c r="F12" t="inlineStr">
        <is>
          <t>Antibody-drug conjugate</t>
        </is>
      </c>
      <c r="G12" t="inlineStr">
        <is>
          <t>Oncology</t>
        </is>
      </c>
      <c r="H12" t="inlineStr">
        <is>
          <t>Gastric or Gastro-esophageal Junction (GEJ) Adenocarcinoma; Pancreatic Adenocarcinoma; Pancreatic Adenocarcinoma Metastatic; Lung Cancer (NSCLC); Ovarian Cancer; Colorectal Cancer Metastatic</t>
        </is>
      </c>
      <c r="I12" t="inlineStr">
        <is>
          <t>Phase 2</t>
        </is>
      </c>
      <c r="J12" t="inlineStr">
        <is>
          <t>Active trial in registry</t>
        </is>
      </c>
      <c r="K12" t="inlineStr">
        <is>
          <t>2026-09-22</t>
        </is>
      </c>
      <c r="L12" t="inlineStr">
        <is>
          <t>Astellas Pharma Global Development, Inc.</t>
        </is>
      </c>
      <c r="M12" t="inlineStr">
        <is>
          <t>NCT07488676; NCT06792435</t>
        </is>
      </c>
      <c r="N12" t="inlineStr"/>
      <c r="O12" t="inlineStr"/>
      <c r="P12" t="inlineStr"/>
      <c r="Q12" t="inlineStr">
        <is>
          <t>Evopoint Biosciences Inc.</t>
        </is>
      </c>
      <c r="R12" t="inlineStr">
        <is>
          <t>https://clinicaltrials.gov/study/NCT07488676; https://clinicaltrials.gov/study/NCT06792435</t>
        </is>
      </c>
      <c r="S12" t="inlineStr">
        <is>
          <t>2026-10-29</t>
        </is>
      </c>
      <c r="T12" t="inlineStr"/>
      <c r="U12" t="inlineStr">
        <is>
          <t>CL-12</t>
        </is>
      </c>
      <c r="V12" t="inlineStr">
        <is>
          <t>Y</t>
        </is>
      </c>
      <c r="W12" t="inlineStr">
        <is>
          <t>Y</t>
        </is>
      </c>
      <c r="X12" t="inlineStr">
        <is>
          <t>Y</t>
        </is>
      </c>
      <c r="Y12" t="inlineStr">
        <is>
          <t>Y</t>
        </is>
      </c>
      <c r="Z12" t="inlineStr">
        <is>
          <t>IN</t>
        </is>
      </c>
      <c r="AA12" t="inlineStr">
        <is>
          <t>CLDN18.2 TOP1i ADC; Phase 2 G/GEJ</t>
        </is>
      </c>
      <c r="AB12" t="inlineStr">
        <is>
          <t>https://api-evsrest.nci.nih.gov/api/v1/concept/ncit/C227646?include=summary — "An antibody-drug conjugate (ADC) composed of a monoclonal antibody directed against the tumor-associated antigen (TAA) claudin 18.2 (CLDN18.2; A2 isoform of claudin-18) conjugated to a topoisomerase 1 inhibitor (TOP1i),"</t>
        </is>
      </c>
    </row>
    <row r="13">
      <c r="A13" t="inlineStr">
        <is>
          <t>CL-12</t>
        </is>
      </c>
      <c r="B13" t="inlineStr">
        <is>
          <t>ASP546C</t>
        </is>
      </c>
      <c r="C13" t="inlineStr">
        <is>
          <t>XNW27011</t>
        </is>
      </c>
      <c r="D13" t="inlineStr">
        <is>
          <t>Claudin 18.2</t>
        </is>
      </c>
      <c r="E13" t="inlineStr"/>
      <c r="F13" t="inlineStr">
        <is>
          <t>Antibody-drug conjugate</t>
        </is>
      </c>
      <c r="G13" t="inlineStr">
        <is>
          <t>Oncology</t>
        </is>
      </c>
      <c r="H13" t="inlineStr">
        <is>
          <t>Gastric or Gastro-esophageal Junction (GEJ) Adenocarcinoma; Pancreatic Adenocarcinoma</t>
        </is>
      </c>
      <c r="I13" t="inlineStr">
        <is>
          <t>Phase 2</t>
        </is>
      </c>
      <c r="J13" t="inlineStr">
        <is>
          <t>Active trial in registry</t>
        </is>
      </c>
      <c r="K13" t="inlineStr">
        <is>
          <t>2026-09-22</t>
        </is>
      </c>
      <c r="L13" t="inlineStr">
        <is>
          <t>Astellas Pharma Global Development, Inc.</t>
        </is>
      </c>
      <c r="M13" t="inlineStr">
        <is>
          <t>NCT07488676</t>
        </is>
      </c>
      <c r="N13" t="inlineStr"/>
      <c r="O13" t="inlineStr"/>
      <c r="P13" t="inlineStr"/>
      <c r="Q13" t="inlineStr"/>
      <c r="R13" t="inlineStr">
        <is>
          <t>https://clinicaltrials.gov/study/NCT07488676</t>
        </is>
      </c>
      <c r="S13" t="inlineStr">
        <is>
          <t>2026-10-29</t>
        </is>
      </c>
      <c r="T13" t="inlineStr"/>
      <c r="U13" t="inlineStr">
        <is>
          <t>CL-11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>
        <is>
          <t>Y</t>
        </is>
      </c>
      <c r="Z13" t="inlineStr">
        <is>
          <t>IN</t>
        </is>
      </c>
      <c r="AA13" t="inlineStr">
        <is>
          <t>Same molecule as XNW27011 (alias in row)</t>
        </is>
      </c>
      <c r="AB13" t="inlineStr">
        <is>
          <t>https://api-evsrest.nci.nih.gov/api/v1/concept/ncit/C227646?include=summary — "An antibody-drug conjugate (ADC) composed of a monoclonal antibody directed against the tumor-associated antigen (TAA) claudin 18.2 (CLDN18.2; A2 isoform of claudin-18) conjugated to a topoisomerase 1 inhibitor (TOP1i),"</t>
        </is>
      </c>
    </row>
    <row r="14">
      <c r="A14" t="inlineStr">
        <is>
          <t>CL-13</t>
        </is>
      </c>
      <c r="B14" t="inlineStr">
        <is>
          <t>Givastomig</t>
        </is>
      </c>
      <c r="C14" t="inlineStr">
        <is>
          <t>TJ033721</t>
        </is>
      </c>
      <c r="D14" t="inlineStr">
        <is>
          <t>Claudin 18.2; 4-1BB</t>
        </is>
      </c>
      <c r="E14" t="inlineStr"/>
      <c r="F14" t="inlineStr">
        <is>
          <t>Bispecific antibody</t>
        </is>
      </c>
      <c r="G14" t="inlineStr">
        <is>
          <t>Oncology</t>
        </is>
      </c>
      <c r="H14" t="inlineStr">
        <is>
          <t>Solid Tumor; Advanced Cancer; Metastatic Cancer; Gastric Cancer; Gastroesophageal Junction Carcinoma; Esophageal Adenocarcinoma</t>
        </is>
      </c>
      <c r="I14" t="inlineStr">
        <is>
          <t>Phase 2</t>
        </is>
      </c>
      <c r="J14" t="inlineStr">
        <is>
          <t>Active trial in registry</t>
        </is>
      </c>
      <c r="K14" t="inlineStr">
        <is>
          <t>2026-05-14</t>
        </is>
      </c>
      <c r="L14" t="inlineStr">
        <is>
          <t>I-Mab Biopharma US Limited</t>
        </is>
      </c>
      <c r="M14" t="inlineStr">
        <is>
          <t>NCT07432295</t>
        </is>
      </c>
      <c r="N14" t="inlineStr"/>
      <c r="O14" t="inlineStr"/>
      <c r="P14" t="inlineStr"/>
      <c r="Q14" t="inlineStr"/>
      <c r="R14" t="inlineStr">
        <is>
          <t>https://clinicaltrials.gov/study/NCT07432295</t>
        </is>
      </c>
      <c r="S14" t="inlineStr">
        <is>
          <t>2026-10-29</t>
        </is>
      </c>
      <c r="T14" t="inlineStr"/>
      <c r="U14" t="inlineStr"/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>
        <is>
          <t>Y</t>
        </is>
      </c>
      <c r="Z14" t="inlineStr">
        <is>
          <t>IN</t>
        </is>
      </c>
      <c r="AA14" t="inlineStr">
        <is>
          <t>CLDN18.2x4-1BB bispecific; Phase 2 incl. gastric/GEJ</t>
        </is>
      </c>
      <c r="AB14" t="inlineStr">
        <is>
          <t>https://api-evsrest.nci.nih.gov/api/v1/concept/ncit/C180884?include=summary — "A bispecific antibody composed of a human, Fc-silenced immunoglobulin G1 (IgG1) monoclonal antibody targeting the tumor-associated antigen (TAA) Claudin18.2 (CLDN18.2; A2 isoform of claudin-18) fused with a single chain"</t>
        </is>
      </c>
    </row>
    <row r="15">
      <c r="A15" t="inlineStr">
        <is>
          <t>CL-14</t>
        </is>
      </c>
      <c r="B15" t="inlineStr">
        <is>
          <t>EO-3021</t>
        </is>
      </c>
      <c r="C15" t="inlineStr"/>
      <c r="D15" t="inlineStr">
        <is>
          <t>Claudin 18.2</t>
        </is>
      </c>
      <c r="E15" t="inlineStr"/>
      <c r="F15" t="inlineStr">
        <is>
          <t>Antibody-drug conjugate</t>
        </is>
      </c>
      <c r="G15" t="inlineStr">
        <is>
          <t>Oncology</t>
        </is>
      </c>
      <c r="H15" t="inlineStr">
        <is>
          <t>Stomach Neoplasm; Gastrointestinal Neoplasms; Digestive System Neoplasm; Neoplasms by Site; Neoplasms</t>
        </is>
      </c>
      <c r="I15" t="inlineStr">
        <is>
          <t>Phase 1</t>
        </is>
      </c>
      <c r="J15" t="inlineStr">
        <is>
          <t>All registered trials terminated or withdrawn</t>
        </is>
      </c>
      <c r="K15" t="inlineStr">
        <is>
          <t>2025-11-14</t>
        </is>
      </c>
      <c r="L15" t="inlineStr">
        <is>
          <t>Elevation Oncology</t>
        </is>
      </c>
      <c r="M15" t="inlineStr">
        <is>
          <t>NCT05980416</t>
        </is>
      </c>
      <c r="N15" t="inlineStr"/>
      <c r="O15" t="inlineStr"/>
      <c r="P15" t="inlineStr"/>
      <c r="Q15" t="inlineStr">
        <is>
          <t>CSPC Pharmaceutical Group Limited; Eli Lilly and Company; GlaxoSmithKline</t>
        </is>
      </c>
      <c r="R15" t="inlineStr">
        <is>
          <t>https://clinicaltrials.gov/study/NCT05980416</t>
        </is>
      </c>
      <c r="S15" t="inlineStr">
        <is>
          <t>2026-10-29</t>
        </is>
      </c>
      <c r="T15" t="inlineStr"/>
      <c r="U15" t="inlineStr">
        <is>
          <t>CL-15</t>
        </is>
      </c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>
        <is>
          <t>Y</t>
        </is>
      </c>
      <c r="Z15" t="inlineStr">
        <is>
          <t>IN</t>
        </is>
      </c>
      <c r="AA15" t="inlineStr">
        <is>
          <t>CLDN18.2 MMAE ADC (=SYSA1801), Phase 1 human data; science fits but development discontinued</t>
        </is>
      </c>
      <c r="AB15" t="inlineStr">
        <is>
          <t>https://api-evsrest.nci.nih.gov/api/v1/concept/ncit/C201073?include=summary — "An antibody-drug conjugate (ADC) composed of a human monoclonal antibody directed against the tumor-associated antigen (TAA) Claudin 18.2 (CLDN18.2; A2 isoform of claudin-18) conjugated to the microtubule-disrupting cyto"</t>
        </is>
      </c>
    </row>
    <row r="16">
      <c r="A16" t="inlineStr">
        <is>
          <t>CL-15</t>
        </is>
      </c>
      <c r="B16" t="inlineStr">
        <is>
          <t>SYSA1801</t>
        </is>
      </c>
      <c r="C16" t="inlineStr"/>
      <c r="D16" t="inlineStr">
        <is>
          <t>Claudin 18.2</t>
        </is>
      </c>
      <c r="E16" t="inlineStr"/>
      <c r="F16" t="inlineStr">
        <is>
          <t>Antibody-drug conjugate</t>
        </is>
      </c>
      <c r="G16" t="inlineStr">
        <is>
          <t>Oncology</t>
        </is>
      </c>
      <c r="H16" t="inlineStr">
        <is>
          <t>Advanced Solid Tumor; Gastric Cancer (GC); Gastroesophageal Junction (GEJ) Cancer; Pancreatic Cancer</t>
        </is>
      </c>
      <c r="I16" t="inlineStr">
        <is>
          <t>Phase 1</t>
        </is>
      </c>
      <c r="J16" t="inlineStr">
        <is>
          <t>Registry: no active trial (UNKNOWN)</t>
        </is>
      </c>
      <c r="K16" t="inlineStr">
        <is>
          <t>2021-10-25</t>
        </is>
      </c>
      <c r="L16" t="inlineStr">
        <is>
          <t>CSPC ZhongQi Pharmaceutical Technology Co., Ltd.</t>
        </is>
      </c>
      <c r="M16" t="inlineStr">
        <is>
          <t>NCT05009966</t>
        </is>
      </c>
      <c r="N16" t="inlineStr"/>
      <c r="O16" t="inlineStr"/>
      <c r="P16" t="inlineStr"/>
      <c r="Q16" t="inlineStr"/>
      <c r="R16" t="inlineStr">
        <is>
          <t>https://clinicaltrials.gov/study/NCT05009966</t>
        </is>
      </c>
      <c r="S16" t="inlineStr">
        <is>
          <t>2026-10-29</t>
        </is>
      </c>
      <c r="T16" t="inlineStr"/>
      <c r="U16" t="inlineStr">
        <is>
          <t>CL-14</t>
        </is>
      </c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>
        <is>
          <t>Y</t>
        </is>
      </c>
      <c r="Z16" t="inlineStr">
        <is>
          <t>IN</t>
        </is>
      </c>
      <c r="AA16" t="inlineStr">
        <is>
          <t>CLDN18.2 ADC, Phase 1 G/GEJ; same molecule as EO-3021 (NCIt alias)</t>
        </is>
      </c>
      <c r="AB16" t="inlineStr">
        <is>
          <t>https://api-evsrest.nci.nih.gov/api/v1/concept/ncit/C201073?include=summary — "An antibody-drug conjugate (ADC) composed of a human monoclonal antibody directed against the tumor-associated antigen (TAA) Claudin 18.2 (CLDN18.2; A2 isoform of claudin-18) conjugated to the microtubule-disrupting cyto"</t>
        </is>
      </c>
    </row>
    <row r="17">
      <c r="A17" t="inlineStr">
        <is>
          <t>CL-16</t>
        </is>
      </c>
      <c r="B17" t="inlineStr">
        <is>
          <t>ATG-022</t>
        </is>
      </c>
      <c r="C17" t="inlineStr"/>
      <c r="D17" t="inlineStr">
        <is>
          <t>Claudin 18.2</t>
        </is>
      </c>
      <c r="E17" t="inlineStr"/>
      <c r="F17" t="inlineStr">
        <is>
          <t>Antibody-drug conjugate</t>
        </is>
      </c>
      <c r="G17" t="inlineStr">
        <is>
          <t>Oncology</t>
        </is>
      </c>
      <c r="H17" t="inlineStr">
        <is>
          <t>Advanced Gastric or Gastroesophageal Junction Adenocarcinoma; Unresectable or Metastatic Gastric or Gastroesophageal Junction Adenocarcinoma</t>
        </is>
      </c>
      <c r="I17" t="inlineStr">
        <is>
          <t>Phase 3</t>
        </is>
      </c>
      <c r="J17" t="inlineStr">
        <is>
          <t>Active trial in registry</t>
        </is>
      </c>
      <c r="K17" t="inlineStr">
        <is>
          <t>2026-10-29</t>
        </is>
      </c>
      <c r="L17" t="inlineStr">
        <is>
          <t>Antengene Biologics Limited</t>
        </is>
      </c>
      <c r="M17" t="inlineStr">
        <is>
          <t>NCT07795346; NCT07327229</t>
        </is>
      </c>
      <c r="N17" t="inlineStr"/>
      <c r="O17" t="inlineStr"/>
      <c r="P17" t="inlineStr"/>
      <c r="Q17" t="inlineStr">
        <is>
          <t>Merck Sharp &amp; Dohme LLC</t>
        </is>
      </c>
      <c r="R17" t="inlineStr">
        <is>
          <t>https://clinicaltrials.gov/study/NCT07795346; https://clinicaltrials.gov/study/NCT07327229</t>
        </is>
      </c>
      <c r="S17" t="inlineStr">
        <is>
          <t>2026-10-29</t>
        </is>
      </c>
      <c r="T17" t="inlineStr"/>
      <c r="U17" t="inlineStr"/>
      <c r="V17" t="inlineStr">
        <is>
          <t>Y</t>
        </is>
      </c>
      <c r="W17" t="inlineStr">
        <is>
          <t>Y</t>
        </is>
      </c>
      <c r="X17" t="inlineStr">
        <is>
          <t>Y</t>
        </is>
      </c>
      <c r="Y17" t="inlineStr">
        <is>
          <t>Y</t>
        </is>
      </c>
      <c r="Z17" t="inlineStr">
        <is>
          <t>IN</t>
        </is>
      </c>
      <c r="AA17" t="inlineStr">
        <is>
          <t>CLDN18.2 ADC; Phase 3 G/GEJ in registry</t>
        </is>
      </c>
      <c r="AB17" t="inlineStr">
        <is>
          <t>landscape cell</t>
        </is>
      </c>
    </row>
    <row r="18">
      <c r="A18" t="inlineStr">
        <is>
          <t>CL-17</t>
        </is>
      </c>
      <c r="B18" t="inlineStr">
        <is>
          <t>AZD5863</t>
        </is>
      </c>
      <c r="C18" t="inlineStr"/>
      <c r="D18" t="inlineStr">
        <is>
          <t>Claudin 18.2; CD3</t>
        </is>
      </c>
      <c r="E18" t="inlineStr"/>
      <c r="F18" t="inlineStr">
        <is>
          <t>Bispecific antibody</t>
        </is>
      </c>
      <c r="G18" t="inlineStr">
        <is>
          <t>Oncology</t>
        </is>
      </c>
      <c r="H18" t="inlineStr">
        <is>
          <t>Gastric Cancer; Gastro-esophageal Junction Cancer; Pancreatic Ductal Adenocarcinoma; Esophageal Adenocarcinoma</t>
        </is>
      </c>
      <c r="I18" t="inlineStr">
        <is>
          <t>Phase 2</t>
        </is>
      </c>
      <c r="J18" t="inlineStr">
        <is>
          <t>Active trial in registry</t>
        </is>
      </c>
      <c r="K18" t="inlineStr">
        <is>
          <t>2026-09-25</t>
        </is>
      </c>
      <c r="L18" t="inlineStr">
        <is>
          <t>AstraZeneca</t>
        </is>
      </c>
      <c r="M18" t="inlineStr">
        <is>
          <t>NCT06005493</t>
        </is>
      </c>
      <c r="N18" t="inlineStr"/>
      <c r="O18" t="inlineStr"/>
      <c r="P18" t="inlineStr"/>
      <c r="Q18" t="inlineStr"/>
      <c r="R18" t="inlineStr">
        <is>
          <t>https://clinicaltrials.gov/study/NCT06005493</t>
        </is>
      </c>
      <c r="S18" t="inlineStr">
        <is>
          <t>2026-10-29</t>
        </is>
      </c>
      <c r="T18" t="inlineStr"/>
      <c r="U18" t="inlineStr"/>
      <c r="V18" t="inlineStr">
        <is>
          <t>Y</t>
        </is>
      </c>
      <c r="W18" t="inlineStr">
        <is>
          <t>Y</t>
        </is>
      </c>
      <c r="X18" t="inlineStr">
        <is>
          <t>Y</t>
        </is>
      </c>
      <c r="Y18" t="inlineStr">
        <is>
          <t>Y</t>
        </is>
      </c>
      <c r="Z18" t="inlineStr">
        <is>
          <t>IN</t>
        </is>
      </c>
      <c r="AA18" t="inlineStr">
        <is>
          <t>CLDN18.2xCD3 TCE (HBM7022); Phase 2 gastric/GEJ</t>
        </is>
      </c>
      <c r="AB18" t="inlineStr">
        <is>
          <t>https://api-evsrest.nci.nih.gov/api/v1/concept/ncit/C206446?include=summary — "An affinity-optimized T-cell engaging (TCE) and human bispecific antibody directed against the tumor-associated antigen (TAA) Claudin18.2 (CLDN18.2; A2 isoform of claudin-18) and the human T-cell surface antigen CD3, wit"</t>
        </is>
      </c>
    </row>
    <row r="19">
      <c r="A19" t="inlineStr">
        <is>
          <t>CL-18</t>
        </is>
      </c>
      <c r="B19" t="inlineStr">
        <is>
          <t>CT041 (satricabtagene autoleucel)</t>
        </is>
      </c>
      <c r="C19" t="inlineStr">
        <is>
          <t>CAR T-cell injection; Single Group Assignment</t>
        </is>
      </c>
      <c r="D19" t="inlineStr">
        <is>
          <t>Claudin 18.2</t>
        </is>
      </c>
      <c r="E19" t="inlineStr"/>
      <c r="F19" t="inlineStr">
        <is>
          <t>CAR-T</t>
        </is>
      </c>
      <c r="G19" t="inlineStr">
        <is>
          <t>Oncology</t>
        </is>
      </c>
      <c r="H19" t="inlineStr">
        <is>
          <t>Gastric Adenocarcinoma; Pancreatic Cancer; Gastroesophageal Junction Adenocarcinoma; Gastric Cancer</t>
        </is>
      </c>
      <c r="I19" t="inlineStr">
        <is>
          <t>Phase 2</t>
        </is>
      </c>
      <c r="J19" t="inlineStr">
        <is>
          <t>Active trial in registry</t>
        </is>
      </c>
      <c r="K19" t="inlineStr">
        <is>
          <t>2026-10-21</t>
        </is>
      </c>
      <c r="L19" t="inlineStr">
        <is>
          <t>CARsgen Therapeutics Co., Ltd.</t>
        </is>
      </c>
      <c r="M19" t="inlineStr">
        <is>
          <t>NCT04581473; NCT06857786; NCT05911217; NCT04404595</t>
        </is>
      </c>
      <c r="N19" t="inlineStr"/>
      <c r="O19" t="inlineStr"/>
      <c r="P19" t="inlineStr"/>
      <c r="Q19" t="inlineStr">
        <is>
          <t>Fudan University; Peking University Cancer Hospital &amp; Institute</t>
        </is>
      </c>
      <c r="R19" t="inlineStr">
        <is>
          <t>https://clinicaltrials.gov/study/NCT04581473; https://clinicaltrials.gov/study/NCT06857786; https://clinicaltrials.gov/study/NCT05911217; https://clinicaltrials.gov/study/NCT04404595</t>
        </is>
      </c>
      <c r="S19" t="inlineStr">
        <is>
          <t>2026-10-29</t>
        </is>
      </c>
      <c r="T19" t="inlineStr"/>
      <c r="U19" t="inlineStr"/>
      <c r="V19" t="inlineStr">
        <is>
          <t>Y</t>
        </is>
      </c>
      <c r="W19" t="inlineStr">
        <is>
          <t>N</t>
        </is>
      </c>
      <c r="X19" t="inlineStr">
        <is>
          <t>Y</t>
        </is>
      </c>
      <c r="Y19" t="inlineStr">
        <is>
          <t>Y</t>
        </is>
      </c>
      <c r="Z19" t="inlineStr">
        <is>
          <t>OUT</t>
        </is>
      </c>
      <c r="AA19" t="inlineStr">
        <is>
          <t>CAR-T (excluded modality)</t>
        </is>
      </c>
      <c r="AB19" t="inlineStr">
        <is>
          <t>https://www.biospace.com/press-releases/carsgen-therapeutics-announces-nda-acceptance-of-satri-cel-by-chinas-nmpa — "Zonghai Li, Founder, Chairman of the Board, Chief Executive Officer, and Chief Scientific Officer of CARsgen Therapeutics , said, "We are delighted to announce that the NDA for our self-developed Claudin18.2-targeted CAR"</t>
        </is>
      </c>
    </row>
    <row r="20">
      <c r="A20" t="inlineStr">
        <is>
          <t>CL-19</t>
        </is>
      </c>
      <c r="B20" t="inlineStr">
        <is>
          <t>AB011</t>
        </is>
      </c>
      <c r="C20" t="inlineStr"/>
      <c r="D20" t="inlineStr">
        <is>
          <t>Claudin 18.2</t>
        </is>
      </c>
      <c r="E20" t="inlineStr"/>
      <c r="F20" t="inlineStr">
        <is>
          <t>Monoclonal antibody</t>
        </is>
      </c>
      <c r="G20" t="inlineStr">
        <is>
          <t>Oncology</t>
        </is>
      </c>
      <c r="H20" t="inlineStr">
        <is>
          <t>Solid Tumor; Gastric Cancer; Pancreatic Adenocarcinoma</t>
        </is>
      </c>
      <c r="I20" t="inlineStr">
        <is>
          <t>Phase 1</t>
        </is>
      </c>
      <c r="J20" t="inlineStr">
        <is>
          <t>Registry: no active trial (COMPLETED)</t>
        </is>
      </c>
      <c r="K20" t="inlineStr">
        <is>
          <t>2024-05-24</t>
        </is>
      </c>
      <c r="L20" t="inlineStr">
        <is>
          <t>CARsgen Therapeutics Co., Ltd.</t>
        </is>
      </c>
      <c r="M20" t="inlineStr">
        <is>
          <t>NCT04400383</t>
        </is>
      </c>
      <c r="N20" t="inlineStr"/>
      <c r="O20" t="inlineStr"/>
      <c r="P20" t="inlineStr"/>
      <c r="Q20" t="inlineStr">
        <is>
          <t>Shanghai East Hospital</t>
        </is>
      </c>
      <c r="R20" t="inlineStr">
        <is>
          <t>https://clinicaltrials.gov/study/NCT04400383</t>
        </is>
      </c>
      <c r="S20" t="inlineStr">
        <is>
          <t>2026-10-29</t>
        </is>
      </c>
      <c r="T20" t="inlineStr"/>
      <c r="U20" t="inlineStr"/>
      <c r="V20" t="inlineStr">
        <is>
          <t>Y</t>
        </is>
      </c>
      <c r="W20" t="inlineStr">
        <is>
          <t>N</t>
        </is>
      </c>
      <c r="X20" t="inlineStr">
        <is>
          <t>Y</t>
        </is>
      </c>
      <c r="Y20" t="inlineStr">
        <is>
          <t>Y</t>
        </is>
      </c>
      <c r="Z20" t="inlineStr">
        <is>
          <t>OUT</t>
        </is>
      </c>
      <c r="AA20" t="inlineStr">
        <is>
          <t>Naked mAb</t>
        </is>
      </c>
      <c r="AB20" t="inlineStr">
        <is>
          <t>https://api-evsrest.nci.nih.gov/api/v1/concept/ncit/C173724?include=summary — "A recombinant humanized monoclonal antibody directed against the tumor-associated antigen (TAA) Claudin18.2 (CLDN18.2; A2 isoform of claudin-18), with potential immunostimulating and antineoplastic activities."</t>
        </is>
      </c>
    </row>
    <row r="21">
      <c r="A21" t="inlineStr">
        <is>
          <t>CL-20</t>
        </is>
      </c>
      <c r="B21" t="inlineStr">
        <is>
          <t>QLS31905</t>
        </is>
      </c>
      <c r="C21" t="inlineStr"/>
      <c r="D21" t="inlineStr">
        <is>
          <t>Claudin 18.2; CD3</t>
        </is>
      </c>
      <c r="E21" t="inlineStr"/>
      <c r="F21" t="inlineStr">
        <is>
          <t>Bispecific antibody</t>
        </is>
      </c>
      <c r="G21" t="inlineStr">
        <is>
          <t>Oncology</t>
        </is>
      </c>
      <c r="H21" t="inlineStr">
        <is>
          <t>Gastric Adenocarcinoma; Gastroesophageal Junction Adenocarcinoma; Advanced Solid Tumor; Solid Tumor; CLDN18.2-positive Advanced Biliary Tract Cancer; Pancreatic Cancer</t>
        </is>
      </c>
      <c r="I21" t="inlineStr">
        <is>
          <t>Phase 3</t>
        </is>
      </c>
      <c r="J21" t="inlineStr">
        <is>
          <t>Active trial in registry</t>
        </is>
      </c>
      <c r="K21" t="inlineStr">
        <is>
          <t>2026-10-19</t>
        </is>
      </c>
      <c r="L21" t="inlineStr">
        <is>
          <t>Qilu Pharmaceutical Co., Ltd.</t>
        </is>
      </c>
      <c r="M21" t="inlineStr">
        <is>
          <t>NCT06942767; NCT06446388; NCT06041035; NCT07151872; NCT07079228; NCT07716449; NCT05278832</t>
        </is>
      </c>
      <c r="N21" t="inlineStr"/>
      <c r="O21" t="inlineStr"/>
      <c r="P21" t="inlineStr"/>
      <c r="Q21" t="inlineStr"/>
      <c r="R21" t="inlineStr">
        <is>
          <t>https://clinicaltrials.gov/study/NCT06942767; https://clinicaltrials.gov/study/NCT06446388; https://clinicaltrials.gov/study/NCT06041035; https://clinicaltrials.gov/study/NCT07151872; https://clinicaltrials.gov/study/NCT07079228</t>
        </is>
      </c>
      <c r="S21" t="inlineStr">
        <is>
          <t>2026-10-29</t>
        </is>
      </c>
      <c r="T21" t="inlineStr"/>
      <c r="U21" t="inlineStr"/>
      <c r="V21" t="inlineStr">
        <is>
          <t>Y</t>
        </is>
      </c>
      <c r="W21" t="inlineStr">
        <is>
          <t>Y</t>
        </is>
      </c>
      <c r="X21" t="inlineStr">
        <is>
          <t>Y</t>
        </is>
      </c>
      <c r="Y21" t="inlineStr">
        <is>
          <t>Y</t>
        </is>
      </c>
      <c r="Z21" t="inlineStr">
        <is>
          <t>IN</t>
        </is>
      </c>
      <c r="AA21" t="inlineStr">
        <is>
          <t>CLDN18.2xCD3 bispecific TCE; Phase 3 incl. gastric/GEJ</t>
        </is>
      </c>
      <c r="AB21" t="inlineStr">
        <is>
          <t>https://api-evsrest.nci.nih.gov/api/v1/concept/ncit/C187103?include=summary — "A bispecific antibody directed against the tumor-associated antigen (TAA) Claudin18.2 (CLDN18.2; A2 isoform of claudin-18) and the human T-cell surface antigen CD3, with potential immunostimulatory and antineoplastic act"</t>
        </is>
      </c>
    </row>
    <row r="22">
      <c r="A22" t="inlineStr">
        <is>
          <t>CL-21</t>
        </is>
      </c>
      <c r="B22" t="inlineStr">
        <is>
          <t>ANO31905</t>
        </is>
      </c>
      <c r="C22" t="inlineStr"/>
      <c r="D22" t="inlineStr">
        <is>
          <t>Claudin 18.2</t>
        </is>
      </c>
      <c r="E22" t="inlineStr"/>
      <c r="F22" t="inlineStr"/>
      <c r="G22" t="inlineStr">
        <is>
          <t>Oncology</t>
        </is>
      </c>
      <c r="H22" t="inlineStr">
        <is>
          <t>Pancreatic Cancer</t>
        </is>
      </c>
      <c r="I22" t="inlineStr">
        <is>
          <t>Phase 2</t>
        </is>
      </c>
      <c r="J22" t="inlineStr">
        <is>
          <t>Active trial in registry</t>
        </is>
      </c>
      <c r="K22" t="inlineStr">
        <is>
          <t>2026-10-23</t>
        </is>
      </c>
      <c r="L22" t="inlineStr">
        <is>
          <t>Anova Innovation Limited</t>
        </is>
      </c>
      <c r="M22" t="inlineStr">
        <is>
          <t>NCT07444541</t>
        </is>
      </c>
      <c r="N22" t="inlineStr"/>
      <c r="O22" t="inlineStr"/>
      <c r="P22" t="inlineStr"/>
      <c r="Q22" t="inlineStr"/>
      <c r="R22" t="inlineStr">
        <is>
          <t>https://clinicaltrials.gov/study/NCT07444541</t>
        </is>
      </c>
      <c r="S22" t="inlineStr">
        <is>
          <t>2026-10-29</t>
        </is>
      </c>
      <c r="T22" t="inlineStr"/>
      <c r="U22" t="inlineStr"/>
      <c r="V22" t="inlineStr">
        <is>
          <t>Y</t>
        </is>
      </c>
      <c r="W22" t="inlineStr">
        <is>
          <t>?</t>
        </is>
      </c>
      <c r="X22" t="inlineStr">
        <is>
          <t>N</t>
        </is>
      </c>
      <c r="Y22" t="inlineStr">
        <is>
          <t>Y</t>
        </is>
      </c>
      <c r="Z22" t="inlineStr">
        <is>
          <t>UNRESOLVED</t>
        </is>
      </c>
      <c r="AA22" t="inlineStr">
        <is>
          <t>Modality unknown; only pancreatic trial; possibly related to QLS31905 (name) - not verified</t>
        </is>
      </c>
      <c r="AB22" t="inlineStr">
        <is>
          <t>landscape cell</t>
        </is>
      </c>
    </row>
    <row r="23">
      <c r="A23" t="inlineStr">
        <is>
          <t>CL-22</t>
        </is>
      </c>
      <c r="B23" t="inlineStr">
        <is>
          <t>FG-M108</t>
        </is>
      </c>
      <c r="C23" t="inlineStr">
        <is>
          <t>M108</t>
        </is>
      </c>
      <c r="D23" t="inlineStr">
        <is>
          <t>Claudin 18.2</t>
        </is>
      </c>
      <c r="E23" t="inlineStr"/>
      <c r="F23" t="inlineStr">
        <is>
          <t>Monoclonal antibody</t>
        </is>
      </c>
      <c r="G23" t="inlineStr">
        <is>
          <t>Oncology</t>
        </is>
      </c>
      <c r="H23" t="inlineStr">
        <is>
          <t>Claudin 18.2; Solid Tumor Malignancies; Locally Advanced Unresectable or Metastatic Gastric Cancer; Locally Advanced Unresectable or Metastatic Gastroesophageal Junction (GEJ) Adenocarcinoma; Pancreatic Cancer</t>
        </is>
      </c>
      <c r="I23" t="inlineStr">
        <is>
          <t>Phase 3</t>
        </is>
      </c>
      <c r="J23" t="inlineStr">
        <is>
          <t>Active trial in registry</t>
        </is>
      </c>
      <c r="K23" t="inlineStr">
        <is>
          <t>2026-07-15</t>
        </is>
      </c>
      <c r="L23" t="inlineStr">
        <is>
          <t>FutureGen Biopharmaceutical (Beijing) Co., Ltd</t>
        </is>
      </c>
      <c r="M23" t="inlineStr">
        <is>
          <t>NCT07704866; NCT06177041; NCT07383922</t>
        </is>
      </c>
      <c r="N23" t="inlineStr"/>
      <c r="O23" t="inlineStr"/>
      <c r="P23" t="inlineStr"/>
      <c r="Q23" t="inlineStr"/>
      <c r="R23" t="inlineStr">
        <is>
          <t>https://clinicaltrials.gov/study/NCT07704866; https://clinicaltrials.gov/study/NCT06177041; https://clinicaltrials.gov/study/NCT07383922</t>
        </is>
      </c>
      <c r="S23" t="inlineStr">
        <is>
          <t>2026-10-29</t>
        </is>
      </c>
      <c r="T23" t="inlineStr"/>
      <c r="U23" t="inlineStr"/>
      <c r="V23" t="inlineStr">
        <is>
          <t>Y</t>
        </is>
      </c>
      <c r="W23" t="inlineStr">
        <is>
          <t>N</t>
        </is>
      </c>
      <c r="X23" t="inlineStr">
        <is>
          <t>Y</t>
        </is>
      </c>
      <c r="Y23" t="inlineStr">
        <is>
          <t>Y</t>
        </is>
      </c>
      <c r="Z23" t="inlineStr">
        <is>
          <t>OUT</t>
        </is>
      </c>
      <c r="AA23" t="inlineStr">
        <is>
          <t>Naked mAb</t>
        </is>
      </c>
      <c r="AB23" t="inlineStr">
        <is>
          <t>https://api-evsrest.nci.nih.gov/api/v1/concept/ncit/C180828?include=summary — "A monoclonal antibody directed against the tumor-associated antigen (TAA) Claudin18.2 (CLDN18.2; A2 isoform of claudin-18), with potential immunostimulating and antineoplastic activities."</t>
        </is>
      </c>
    </row>
    <row r="24">
      <c r="A24" t="inlineStr">
        <is>
          <t>CL-23</t>
        </is>
      </c>
      <c r="B24" t="inlineStr">
        <is>
          <t>FG-B901</t>
        </is>
      </c>
      <c r="C24" t="inlineStr"/>
      <c r="D24" t="inlineStr">
        <is>
          <t>PD-L1</t>
        </is>
      </c>
      <c r="E24" t="inlineStr"/>
      <c r="F24" t="inlineStr">
        <is>
          <t>Bispecific antibody</t>
        </is>
      </c>
      <c r="G24" t="inlineStr">
        <is>
          <t>Oncology</t>
        </is>
      </c>
      <c r="H24" t="inlineStr">
        <is>
          <t>Claudin 18.2; Solid Tumor Malignancies</t>
        </is>
      </c>
      <c r="I24" t="inlineStr">
        <is>
          <t>Phase 2</t>
        </is>
      </c>
      <c r="J24" t="inlineStr">
        <is>
          <t>Active trial in registry</t>
        </is>
      </c>
      <c r="K24" t="inlineStr">
        <is>
          <t>2026-07-15</t>
        </is>
      </c>
      <c r="L24" t="inlineStr">
        <is>
          <t>FutureGen Biopharmaceutical (Beijing) Co., Ltd</t>
        </is>
      </c>
      <c r="M24" t="inlineStr">
        <is>
          <t>NCT07704866</t>
        </is>
      </c>
      <c r="N24" t="inlineStr"/>
      <c r="O24" t="inlineStr"/>
      <c r="P24" t="inlineStr"/>
      <c r="Q24" t="inlineStr"/>
      <c r="R24" t="inlineStr">
        <is>
          <t>https://clinicaltrials.gov/study/NCT07704866</t>
        </is>
      </c>
      <c r="S24" t="inlineStr">
        <is>
          <t>2026-10-29</t>
        </is>
      </c>
      <c r="T24" t="inlineStr"/>
      <c r="U24" t="inlineStr"/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>
        <is>
          <t>Y</t>
        </is>
      </c>
      <c r="Z24" t="inlineStr">
        <is>
          <t>OUT</t>
        </is>
      </c>
      <c r="AA24" t="inlineStr">
        <is>
          <t>Target is PD-L1/CD40, not CLDN18.2 (noise)</t>
        </is>
      </c>
      <c r="AB24" t="inlineStr">
        <is>
          <t>https://clinicaltrials.gov/api/v2/studies/NCT07623707 — "FG-B901 is a recombinant humanized IgG2 bispecific antibody targeting PD-L1 and CD40."</t>
        </is>
      </c>
    </row>
    <row r="25">
      <c r="A25" t="inlineStr">
        <is>
          <t>CL-24</t>
        </is>
      </c>
      <c r="B25" t="inlineStr">
        <is>
          <t>JS107</t>
        </is>
      </c>
      <c r="C25" t="inlineStr"/>
      <c r="D25" t="inlineStr">
        <is>
          <t>Claudin 18.2</t>
        </is>
      </c>
      <c r="E25" t="inlineStr"/>
      <c r="F25" t="inlineStr">
        <is>
          <t>Antibody-drug conjugate</t>
        </is>
      </c>
      <c r="G25" t="inlineStr">
        <is>
          <t>Oncology</t>
        </is>
      </c>
      <c r="H25" t="inlineStr">
        <is>
          <t>Advanced Gastric or Gastroesophageal Junction Adenocarcinoma; Gastric Adenocarcinoma</t>
        </is>
      </c>
      <c r="I25" t="inlineStr">
        <is>
          <t>Phase 3</t>
        </is>
      </c>
      <c r="J25" t="inlineStr">
        <is>
          <t>Active trial in registry</t>
        </is>
      </c>
      <c r="K25" t="inlineStr">
        <is>
          <t>2026-06-29</t>
        </is>
      </c>
      <c r="L25" t="inlineStr">
        <is>
          <t>NingBo Junyan Hongshi Biosciences Co., Ltd</t>
        </is>
      </c>
      <c r="M25" t="inlineStr">
        <is>
          <t>NCT07284134; NCT07584135</t>
        </is>
      </c>
      <c r="N25" t="inlineStr"/>
      <c r="O25" t="inlineStr"/>
      <c r="P25" t="inlineStr"/>
      <c r="Q25" t="inlineStr"/>
      <c r="R25" t="inlineStr">
        <is>
          <t>https://clinicaltrials.gov/study/NCT07284134; https://clinicaltrials.gov/study/NCT07584135</t>
        </is>
      </c>
      <c r="S25" t="inlineStr">
        <is>
          <t>2026-10-29</t>
        </is>
      </c>
      <c r="T25" t="inlineStr"/>
      <c r="U25" t="inlineStr"/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Y</t>
        </is>
      </c>
      <c r="Z25" t="inlineStr">
        <is>
          <t>IN</t>
        </is>
      </c>
      <c r="AA25" t="inlineStr">
        <is>
          <t>CLDN18.2 MMAE ADC; Phase 3 G/GEJ</t>
        </is>
      </c>
      <c r="AB25" t="inlineStr">
        <is>
          <t>https://api-evsrest.nci.nih.gov/api/v1/concept/ncit/C190687?include=summary — "An antibody-drug conjugate (ADC) composed of a humanized monoclonal antibody directed against the tumor-associated antigen (TAA) Claudin 18.2 (CLDN18.2; A2 isoform of claudin-18) conjugated to the microtubule-disrupting"</t>
        </is>
      </c>
    </row>
    <row r="26">
      <c r="A26" t="inlineStr">
        <is>
          <t>CL-25</t>
        </is>
      </c>
      <c r="B26" t="inlineStr">
        <is>
          <t>RC118</t>
        </is>
      </c>
      <c r="C26" t="inlineStr">
        <is>
          <t>RC118 for injection</t>
        </is>
      </c>
      <c r="D26" t="inlineStr">
        <is>
          <t>Claudin 18.2</t>
        </is>
      </c>
      <c r="E26" t="inlineStr"/>
      <c r="F26" t="inlineStr">
        <is>
          <t>Antibody-drug conjugate</t>
        </is>
      </c>
      <c r="G26" t="inlineStr">
        <is>
          <t>Oncology</t>
        </is>
      </c>
      <c r="H26" t="inlineStr">
        <is>
          <t>Advanced Solid Tumor; Unresectable Solid Tumor; Metastatic Solid Tumor; Locally Advanced Solid Tumor</t>
        </is>
      </c>
      <c r="I26" t="inlineStr">
        <is>
          <t>Phase 2</t>
        </is>
      </c>
      <c r="J26" t="inlineStr">
        <is>
          <t>Active trial in registry</t>
        </is>
      </c>
      <c r="K26" t="inlineStr">
        <is>
          <t>2025-01-29</t>
        </is>
      </c>
      <c r="L26" t="inlineStr">
        <is>
          <t>RemeGen Co., Ltd.</t>
        </is>
      </c>
      <c r="M26" t="inlineStr">
        <is>
          <t>NCT06038396; NCT04914117; NCT05205850</t>
        </is>
      </c>
      <c r="N26" t="inlineStr"/>
      <c r="O26" t="inlineStr"/>
      <c r="P26" t="inlineStr"/>
      <c r="Q26" t="inlineStr"/>
      <c r="R26" t="inlineStr">
        <is>
          <t>https://clinicaltrials.gov/study/NCT06038396; https://clinicaltrials.gov/study/NCT04914117; https://clinicaltrials.gov/study/NCT05205850</t>
        </is>
      </c>
      <c r="S26" t="inlineStr">
        <is>
          <t>2026-10-29</t>
        </is>
      </c>
      <c r="T26" t="inlineStr"/>
      <c r="U26" t="inlineStr"/>
      <c r="V26" t="inlineStr">
        <is>
          <t>Y</t>
        </is>
      </c>
      <c r="W26" t="inlineStr">
        <is>
          <t>Y</t>
        </is>
      </c>
      <c r="X26" t="inlineStr">
        <is>
          <t>?</t>
        </is>
      </c>
      <c r="Y26" t="inlineStr">
        <is>
          <t>Y</t>
        </is>
      </c>
      <c r="Z26" t="inlineStr">
        <is>
          <t>IN</t>
        </is>
      </c>
      <c r="AA26" t="inlineStr">
        <is>
          <t>CLDN18.2 ADC; Phase 2 in CLDN18.2+ solid tumours (gastric fit to confirm)</t>
        </is>
      </c>
      <c r="AB26" t="inlineStr">
        <is>
          <t>https://api-evsrest.nci.nih.gov/api/v1/concept/ncit/C180906?include=summary — "An antibody-drug conjugate (ADC) composed of ciletatug, a humanized immunoglobulin G1 kappa (IgG1k) monoclonal antibody directed against the tumor-associated antigen (TAA) Claudin 18.2 (CLDN18.2; A2 isoform of claudin-18"</t>
        </is>
      </c>
    </row>
    <row r="27">
      <c r="A27" t="inlineStr">
        <is>
          <t>CL-26</t>
        </is>
      </c>
      <c r="B27" t="inlineStr">
        <is>
          <t>RC148</t>
        </is>
      </c>
      <c r="C27" t="inlineStr"/>
      <c r="D27" t="inlineStr">
        <is>
          <t>PD-1</t>
        </is>
      </c>
      <c r="E27" t="inlineStr"/>
      <c r="F27" t="inlineStr">
        <is>
          <t>Bispecific antibody</t>
        </is>
      </c>
      <c r="G27" t="inlineStr">
        <is>
          <t>Oncology</t>
        </is>
      </c>
      <c r="H27" t="inlineStr">
        <is>
          <t>Advanced Solid Tumor</t>
        </is>
      </c>
      <c r="I27" t="inlineStr">
        <is>
          <t>Phase 2</t>
        </is>
      </c>
      <c r="J27" t="inlineStr">
        <is>
          <t>Registry: no active trial (UNKNOWN)</t>
        </is>
      </c>
      <c r="K27" t="inlineStr">
        <is>
          <t>2025-01-29</t>
        </is>
      </c>
      <c r="L27" t="inlineStr">
        <is>
          <t>RemeGen Co., Ltd.</t>
        </is>
      </c>
      <c r="M27" t="inlineStr">
        <is>
          <t>NCT06038396</t>
        </is>
      </c>
      <c r="N27" t="inlineStr"/>
      <c r="O27" t="inlineStr"/>
      <c r="P27" t="inlineStr"/>
      <c r="Q27" t="inlineStr"/>
      <c r="R27" t="inlineStr">
        <is>
          <t>https://clinicaltrials.gov/study/NCT06038396</t>
        </is>
      </c>
      <c r="S27" t="inlineStr">
        <is>
          <t>2026-10-29</t>
        </is>
      </c>
      <c r="T27" t="inlineStr"/>
      <c r="U27" t="inlineStr"/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>
        <is>
          <t>Y</t>
        </is>
      </c>
      <c r="Z27" t="inlineStr">
        <is>
          <t>OUT</t>
        </is>
      </c>
      <c r="AA27" t="inlineStr">
        <is>
          <t>RC148 is PD-1/VEGF bispecific, not CLDN18.2 (noise)</t>
        </is>
      </c>
      <c r="AB27" t="inlineStr">
        <is>
          <t>https://news.abbvie.com/2026-01-12-AbbVie-and-RemeGen-Announce-Exclusive-Licensing-Agreement-to-Develop-A-Novel-Bispecific-Antibody-for-Advanced-Solid-Tumors — "12, 2026 / PRNewswire / -- AbbVie (NYSE: ABBV) and RemeGen today announced an exclusive licensing agreement for the development, manufacturing and commercialization of RC148, a novel investigational Programmed Cell Death"</t>
        </is>
      </c>
    </row>
    <row r="28">
      <c r="A28" t="inlineStr">
        <is>
          <t>CL-27</t>
        </is>
      </c>
      <c r="B28" t="inlineStr">
        <is>
          <t>SKB315</t>
        </is>
      </c>
      <c r="C28" t="inlineStr"/>
      <c r="D28" t="inlineStr">
        <is>
          <t>Claudin 18.2</t>
        </is>
      </c>
      <c r="E28" t="inlineStr"/>
      <c r="F28" t="inlineStr">
        <is>
          <t>Antibody-drug conjugate</t>
        </is>
      </c>
      <c r="G28" t="inlineStr">
        <is>
          <t>Oncology</t>
        </is>
      </c>
      <c r="H28" t="inlineStr">
        <is>
          <t>Advanced Solid Tumors; Gastroesophageal Junction Adenocarcinoma</t>
        </is>
      </c>
      <c r="I28" t="inlineStr">
        <is>
          <t>Phase 2</t>
        </is>
      </c>
      <c r="J28" t="inlineStr">
        <is>
          <t>Active trial in registry</t>
        </is>
      </c>
      <c r="K28" t="inlineStr">
        <is>
          <t>2026-05-27</t>
        </is>
      </c>
      <c r="L28" t="inlineStr">
        <is>
          <t>Sichuan Kelun-Biotech Biopharmaceutical Co., Ltd.</t>
        </is>
      </c>
      <c r="M28" t="inlineStr">
        <is>
          <t>NCT05367635; NCT07609667</t>
        </is>
      </c>
      <c r="N28" t="inlineStr"/>
      <c r="O28" t="inlineStr"/>
      <c r="P28" t="inlineStr"/>
      <c r="Q28" t="inlineStr"/>
      <c r="R28" t="inlineStr">
        <is>
          <t>https://clinicaltrials.gov/study/NCT05367635; https://clinicaltrials.gov/study/NCT07609667</t>
        </is>
      </c>
      <c r="S28" t="inlineStr">
        <is>
          <t>2026-10-29</t>
        </is>
      </c>
      <c r="T28" t="inlineStr"/>
      <c r="U28" t="inlineStr"/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>
        <is>
          <t>Y</t>
        </is>
      </c>
      <c r="Z28" t="inlineStr">
        <is>
          <t>IN</t>
        </is>
      </c>
      <c r="AA28" t="inlineStr">
        <is>
          <t>CLDN18.2 TOP1i ADC (ex-MK-1200); Phase 2 GEJ/solid tumours</t>
        </is>
      </c>
      <c r="AB28" t="inlineStr">
        <is>
          <t>https://api-evsrest.nci.nih.gov/api/v1/concept/ncit/C187690?include=summary — "An antibody-drug conjugate (ADC) composed of a monoclonal antibody directed against the tumor-associated antigen (TAA) claudin 18.2 (CLDN18.2; A2 isoform of claudin-18) that is site-specifically conjugated, via a stable"</t>
        </is>
      </c>
    </row>
    <row r="29">
      <c r="A29" t="inlineStr">
        <is>
          <t>CL-28</t>
        </is>
      </c>
      <c r="B29" t="inlineStr">
        <is>
          <t>ASKB589</t>
        </is>
      </c>
      <c r="C29" t="inlineStr"/>
      <c r="D29" t="inlineStr">
        <is>
          <t>PD-1; Claudin 18.2</t>
        </is>
      </c>
      <c r="E29" t="inlineStr"/>
      <c r="F29" t="inlineStr">
        <is>
          <t>Monoclonal antibody</t>
        </is>
      </c>
      <c r="G29" t="inlineStr">
        <is>
          <t>Oncology</t>
        </is>
      </c>
      <c r="H29" t="inlineStr">
        <is>
          <t>Gastric Cancer; Gastroesophageal Cancer (GC); Gastroesophageal Junction Adenocarcinoma; Gastric Adenocarcinoma</t>
        </is>
      </c>
      <c r="I29" t="inlineStr">
        <is>
          <t>Phase 3</t>
        </is>
      </c>
      <c r="J29" t="inlineStr">
        <is>
          <t>Active trial in registry</t>
        </is>
      </c>
      <c r="K29" t="inlineStr">
        <is>
          <t>2026-09-16</t>
        </is>
      </c>
      <c r="L29" t="inlineStr">
        <is>
          <t>AskGene Pharma, Inc.</t>
        </is>
      </c>
      <c r="M29" t="inlineStr">
        <is>
          <t>NCT05632939; NCT06206733</t>
        </is>
      </c>
      <c r="N29" t="inlineStr"/>
      <c r="O29" t="inlineStr"/>
      <c r="P29" t="inlineStr"/>
      <c r="Q29" t="inlineStr">
        <is>
          <t>Jiangsu Aosaikang Biopharmaceutical Co., Ltd; Jiangsu Aosaikang Pharmaceutical Co., Ltd.</t>
        </is>
      </c>
      <c r="R29" t="inlineStr">
        <is>
          <t>https://clinicaltrials.gov/study/NCT05632939; https://clinicaltrials.gov/study/NCT06206733</t>
        </is>
      </c>
      <c r="S29" t="inlineStr">
        <is>
          <t>2026-10-29</t>
        </is>
      </c>
      <c r="T29" t="inlineStr"/>
      <c r="U29" t="inlineStr"/>
      <c r="V29" t="inlineStr">
        <is>
          <t>Y</t>
        </is>
      </c>
      <c r="W29" t="inlineStr">
        <is>
          <t>N</t>
        </is>
      </c>
      <c r="X29" t="inlineStr">
        <is>
          <t>Y</t>
        </is>
      </c>
      <c r="Y29" t="inlineStr">
        <is>
          <t>Y</t>
        </is>
      </c>
      <c r="Z29" t="inlineStr">
        <is>
          <t>OUT</t>
        </is>
      </c>
      <c r="AA29" t="inlineStr">
        <is>
          <t>Naked CLDN18.2 mAb (PD-1 in target cell is trial-combination noise)</t>
        </is>
      </c>
      <c r="AB29" t="inlineStr">
        <is>
          <t>https://api-evsrest.nci.nih.gov/api/v1/concept/ncit/C179328?include=summary — "A monoclonal antibody directed against the tumor-associated antigen (TAA) Claudin18.2 (CLDN18.2; A2 isoform of claudin-18), with potential immunostimulating and antineoplastic activities."</t>
        </is>
      </c>
    </row>
    <row r="30">
      <c r="A30" t="inlineStr">
        <is>
          <t>CL-29</t>
        </is>
      </c>
      <c r="B30" t="inlineStr">
        <is>
          <t>BL-M05D1</t>
        </is>
      </c>
      <c r="C30" t="inlineStr"/>
      <c r="D30" t="inlineStr">
        <is>
          <t>Claudin 18.2</t>
        </is>
      </c>
      <c r="E30" t="inlineStr"/>
      <c r="F30" t="inlineStr">
        <is>
          <t>Antibody-drug conjugate</t>
        </is>
      </c>
      <c r="G30" t="inlineStr">
        <is>
          <t>Oncology</t>
        </is>
      </c>
      <c r="H30" t="inlineStr">
        <is>
          <t>Gastric Cancer; Gastroesophageal Junction Adenocarcinoma</t>
        </is>
      </c>
      <c r="I30" t="inlineStr">
        <is>
          <t>Phase 3</t>
        </is>
      </c>
      <c r="J30" t="inlineStr">
        <is>
          <t>Active trial in registry</t>
        </is>
      </c>
      <c r="K30" t="inlineStr">
        <is>
          <t>2026-07-08</t>
        </is>
      </c>
      <c r="L30" t="inlineStr">
        <is>
          <t>Sichuan Baili Pharmaceutical Co., Ltd.</t>
        </is>
      </c>
      <c r="M30" t="inlineStr">
        <is>
          <t>NCT07518147</t>
        </is>
      </c>
      <c r="N30" t="inlineStr"/>
      <c r="O30" t="inlineStr"/>
      <c r="P30" t="inlineStr"/>
      <c r="Q30" t="inlineStr">
        <is>
          <t>Baili-Bio (Chengdu) Pharmaceutical Co., Ltd.</t>
        </is>
      </c>
      <c r="R30" t="inlineStr">
        <is>
          <t>https://clinicaltrials.gov/study/NCT07518147</t>
        </is>
      </c>
      <c r="S30" t="inlineStr">
        <is>
          <t>2026-10-29</t>
        </is>
      </c>
      <c r="T30" t="inlineStr"/>
      <c r="U30" t="inlineStr"/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>
        <is>
          <t>Y</t>
        </is>
      </c>
      <c r="Z30" t="inlineStr">
        <is>
          <t>IN</t>
        </is>
      </c>
      <c r="AA30" t="inlineStr">
        <is>
          <t>CLDN18.2 TOP1i ADC; Phase 3 G/GEJ</t>
        </is>
      </c>
      <c r="AB30" t="inlineStr">
        <is>
          <t>https://api-evsrest.nci.nih.gov/api/v1/concept/ncit/C215079?include=summary — "An antibody-drug conjugate (ADC) composed of a wild-type Fc-containing immunoglobulin (IgG) monoclonal antibody directed against the tumor-associated antigen (TAA) Claudin 18.2 (CLDN18.2; A2 isoform of claudin-18) (5103F"</t>
        </is>
      </c>
    </row>
    <row r="31">
      <c r="A31" t="inlineStr">
        <is>
          <t>CL-30</t>
        </is>
      </c>
      <c r="B31" t="inlineStr">
        <is>
          <t>FL-301</t>
        </is>
      </c>
      <c r="C31" t="inlineStr">
        <is>
          <t>FL-301</t>
        </is>
      </c>
      <c r="D31" t="inlineStr">
        <is>
          <t>Claudin 18.2</t>
        </is>
      </c>
      <c r="E31" t="inlineStr"/>
      <c r="F31" t="inlineStr">
        <is>
          <t>Monoclonal antibody</t>
        </is>
      </c>
      <c r="G31" t="inlineStr">
        <is>
          <t>Oncology</t>
        </is>
      </c>
      <c r="H31" t="inlineStr">
        <is>
          <t>Pancreas Cancer; Gastric Cancer; Solid Tumor</t>
        </is>
      </c>
      <c r="I31" t="inlineStr">
        <is>
          <t>Phase 2</t>
        </is>
      </c>
      <c r="J31" t="inlineStr">
        <is>
          <t>All registered trials terminated or withdrawn</t>
        </is>
      </c>
      <c r="K31" t="inlineStr">
        <is>
          <t>2022-02-07</t>
        </is>
      </c>
      <c r="L31" t="inlineStr">
        <is>
          <t>Flame Biosciences</t>
        </is>
      </c>
      <c r="M31" t="inlineStr">
        <is>
          <t>NCT05181865</t>
        </is>
      </c>
      <c r="N31" t="inlineStr"/>
      <c r="O31" t="inlineStr"/>
      <c r="P31" t="inlineStr"/>
      <c r="Q31" t="inlineStr"/>
      <c r="R31" t="inlineStr">
        <is>
          <t>https://clinicaltrials.gov/study/NCT05181865</t>
        </is>
      </c>
      <c r="S31" t="inlineStr">
        <is>
          <t>2026-10-29</t>
        </is>
      </c>
      <c r="T31" t="inlineStr"/>
      <c r="U31" t="inlineStr"/>
      <c r="V31" t="inlineStr">
        <is>
          <t>Y</t>
        </is>
      </c>
      <c r="W31" t="inlineStr">
        <is>
          <t>N</t>
        </is>
      </c>
      <c r="X31" t="inlineStr">
        <is>
          <t>Y</t>
        </is>
      </c>
      <c r="Y31" t="inlineStr">
        <is>
          <t>Y</t>
        </is>
      </c>
      <c r="Z31" t="inlineStr">
        <is>
          <t>OUT</t>
        </is>
      </c>
      <c r="AA31" t="inlineStr">
        <is>
          <t>Naked mAb; terminated</t>
        </is>
      </c>
      <c r="AB31" t="inlineStr">
        <is>
          <t>landscape cell</t>
        </is>
      </c>
    </row>
    <row r="32">
      <c r="A32" t="inlineStr">
        <is>
          <t>CL-31</t>
        </is>
      </c>
      <c r="B32" t="inlineStr">
        <is>
          <t>Spevatamig (PT886)</t>
        </is>
      </c>
      <c r="C32" t="inlineStr"/>
      <c r="D32" t="inlineStr">
        <is>
          <t>Claudin 18.2; CD47</t>
        </is>
      </c>
      <c r="E32" t="inlineStr"/>
      <c r="F32" t="inlineStr">
        <is>
          <t>Bispecific antibody</t>
        </is>
      </c>
      <c r="G32" t="inlineStr">
        <is>
          <t>Oncology</t>
        </is>
      </c>
      <c r="H32" t="inlineStr">
        <is>
          <t>Gastric or Gastroesophageal Junction Adenocarcinoma; Pancreatic Ductal Adenocarcinoma; Biliary Tract Cancer (BTC); Colorectal Cancer</t>
        </is>
      </c>
      <c r="I32" t="inlineStr">
        <is>
          <t>Phase 2</t>
        </is>
      </c>
      <c r="J32" t="inlineStr">
        <is>
          <t>Active trial in registry</t>
        </is>
      </c>
      <c r="K32" t="inlineStr">
        <is>
          <t>2026-09-28</t>
        </is>
      </c>
      <c r="L32" t="inlineStr">
        <is>
          <t>Phanes Therapeutics</t>
        </is>
      </c>
      <c r="M32" t="inlineStr">
        <is>
          <t>NCT05482893</t>
        </is>
      </c>
      <c r="N32" t="inlineStr"/>
      <c r="O32" t="inlineStr"/>
      <c r="P32" t="inlineStr"/>
      <c r="Q32" t="inlineStr">
        <is>
          <t>Merck Sharp &amp; Dohme LLC</t>
        </is>
      </c>
      <c r="R32" t="inlineStr">
        <is>
          <t>https://clinicaltrials.gov/study/NCT05482893</t>
        </is>
      </c>
      <c r="S32" t="inlineStr">
        <is>
          <t>2026-10-29</t>
        </is>
      </c>
      <c r="T32" t="inlineStr"/>
      <c r="U32" t="inlineStr"/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>
        <is>
          <t>Y</t>
        </is>
      </c>
      <c r="Z32" t="inlineStr">
        <is>
          <t>IN</t>
        </is>
      </c>
      <c r="AA32" t="inlineStr">
        <is>
          <t>CLDN18.2xCD47 bispecific; Phase 2 G/GEJ</t>
        </is>
      </c>
      <c r="AB32" t="inlineStr">
        <is>
          <t>https://api-evsrest.nci.nih.gov/api/v1/concept/ncit/C190118?include=summary — "A bispecific antibody directed against both the tumor-associated antigen (TAA) Claudin18.2 (CLDN18.2; A2 isoform of claudin-18) and the human cell surface antigen CD47, with potential immunostimulating, phagocytosis-indu"</t>
        </is>
      </c>
    </row>
    <row r="33">
      <c r="A33" t="inlineStr">
        <is>
          <t>CL-32</t>
        </is>
      </c>
      <c r="B33" t="inlineStr">
        <is>
          <t>BDC-4182</t>
        </is>
      </c>
      <c r="C33" t="inlineStr"/>
      <c r="D33" t="inlineStr">
        <is>
          <t>Claudin 18.2</t>
        </is>
      </c>
      <c r="E33" t="inlineStr"/>
      <c r="F33" t="inlineStr">
        <is>
          <t>Monoclonal antibody</t>
        </is>
      </c>
      <c r="G33" t="inlineStr">
        <is>
          <t>Oncology</t>
        </is>
      </c>
      <c r="H33" t="inlineStr">
        <is>
          <t>Gastric Cancer Adenocarcinoma Metastatic; Gastroesophageal Adenocarcinoma</t>
        </is>
      </c>
      <c r="I33" t="inlineStr">
        <is>
          <t>Phase 2</t>
        </is>
      </c>
      <c r="J33" t="inlineStr">
        <is>
          <t>Active trial in registry</t>
        </is>
      </c>
      <c r="K33" t="inlineStr">
        <is>
          <t>2026-01-27</t>
        </is>
      </c>
      <c r="L33" t="inlineStr">
        <is>
          <t>Bolt Biotherapeutics, Inc.</t>
        </is>
      </c>
      <c r="M33" t="inlineStr">
        <is>
          <t>NCT06921837</t>
        </is>
      </c>
      <c r="N33" t="inlineStr"/>
      <c r="O33" t="inlineStr"/>
      <c r="P33" t="inlineStr"/>
      <c r="Q33" t="inlineStr"/>
      <c r="R33" t="inlineStr">
        <is>
          <t>https://clinicaltrials.gov/study/NCT06921837</t>
        </is>
      </c>
      <c r="S33" t="inlineStr">
        <is>
          <t>2026-10-29</t>
        </is>
      </c>
      <c r="T33" t="inlineStr"/>
      <c r="U33" t="inlineStr"/>
      <c r="V33" t="inlineStr">
        <is>
          <t>Y</t>
        </is>
      </c>
      <c r="W33" t="inlineStr">
        <is>
          <t>?</t>
        </is>
      </c>
      <c r="X33" t="inlineStr">
        <is>
          <t>Y</t>
        </is>
      </c>
      <c r="Y33" t="inlineStr">
        <is>
          <t>Y</t>
        </is>
      </c>
      <c r="Z33" t="inlineStr">
        <is>
          <t>UNRESOLVED</t>
        </is>
      </c>
      <c r="AA33" t="inlineStr">
        <is>
          <t>Boltbody ISAC (immune-stimulating conjugate, not cytotoxic ADC; landscape says mAb) - buyer scope ambiguous</t>
        </is>
      </c>
      <c r="AB33" t="inlineStr">
        <is>
          <t>landscape cell</t>
        </is>
      </c>
    </row>
    <row r="34">
      <c r="A34" t="inlineStr">
        <is>
          <t>CL-33</t>
        </is>
      </c>
      <c r="B34" t="inlineStr">
        <is>
          <t>SOT102</t>
        </is>
      </c>
      <c r="C34" t="inlineStr"/>
      <c r="D34" t="inlineStr">
        <is>
          <t>Claudin 18.2</t>
        </is>
      </c>
      <c r="E34" t="inlineStr"/>
      <c r="F34" t="inlineStr">
        <is>
          <t>Antibody-drug conjugate</t>
        </is>
      </c>
      <c r="G34" t="inlineStr">
        <is>
          <t>Oncology</t>
        </is>
      </c>
      <c r="H34" t="inlineStr">
        <is>
          <t>Pancreatic Cancer</t>
        </is>
      </c>
      <c r="I34" t="inlineStr">
        <is>
          <t>Phase 2</t>
        </is>
      </c>
      <c r="J34" t="inlineStr">
        <is>
          <t>All registered trials terminated or withdrawn</t>
        </is>
      </c>
      <c r="K34" t="inlineStr">
        <is>
          <t>2025-11-17</t>
        </is>
      </c>
      <c r="L34" t="inlineStr">
        <is>
          <t>SOTIO Biotech a.s.</t>
        </is>
      </c>
      <c r="M34" t="inlineStr">
        <is>
          <t>NCT05525286</t>
        </is>
      </c>
      <c r="N34" t="inlineStr"/>
      <c r="O34" t="inlineStr"/>
      <c r="P34" t="inlineStr"/>
      <c r="Q34" t="inlineStr"/>
      <c r="R34" t="inlineStr">
        <is>
          <t>https://clinicaltrials.gov/study/NCT05525286</t>
        </is>
      </c>
      <c r="S34" t="inlineStr">
        <is>
          <t>2026-10-29</t>
        </is>
      </c>
      <c r="T34" t="inlineStr"/>
      <c r="U34" t="inlineStr"/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>
        <is>
          <t>Y</t>
        </is>
      </c>
      <c r="Z34" t="inlineStr">
        <is>
          <t>OUT</t>
        </is>
      </c>
      <c r="AA34" t="inlineStr">
        <is>
          <t>CLDN18.2 ADC but pancreatic-only and terminated; no gastric data</t>
        </is>
      </c>
      <c r="AB34" t="inlineStr">
        <is>
          <t>https://api-evsrest.nci.nih.gov/api/v1/concept/ncit/C190788?include=summary — "An antibody-drug conjugate (ADC) composed of an immunoglobulin G1 (IgG1) monoclonal antibody directed against the tumor-associated antigen (TAA) claudin 18.2 (CLDN18.2; A2 isoform of claudin-18) that is site-specifically"</t>
        </is>
      </c>
    </row>
    <row r="35">
      <c r="A35" t="inlineStr">
        <is>
          <t>CL-34</t>
        </is>
      </c>
      <c r="B35" t="inlineStr">
        <is>
          <t>ZL-1211</t>
        </is>
      </c>
      <c r="C35" t="inlineStr"/>
      <c r="D35" t="inlineStr">
        <is>
          <t>Claudin 18.2</t>
        </is>
      </c>
      <c r="E35" t="inlineStr"/>
      <c r="F35" t="inlineStr">
        <is>
          <t>Monoclonal antibody</t>
        </is>
      </c>
      <c r="G35" t="inlineStr">
        <is>
          <t>Oncology</t>
        </is>
      </c>
      <c r="H35" t="inlineStr">
        <is>
          <t>Advanced Solid Tumor</t>
        </is>
      </c>
      <c r="I35" t="inlineStr">
        <is>
          <t>Phase 1</t>
        </is>
      </c>
      <c r="J35" t="inlineStr">
        <is>
          <t>Registry: no active trial (COMPLETED)</t>
        </is>
      </c>
      <c r="K35" t="inlineStr">
        <is>
          <t>2024-09-03</t>
        </is>
      </c>
      <c r="L35" t="inlineStr">
        <is>
          <t>Zai Biopharmaceutical (Suzhou) Co., Ltd.</t>
        </is>
      </c>
      <c r="M35" t="inlineStr">
        <is>
          <t>NCT05065710</t>
        </is>
      </c>
      <c r="N35" t="inlineStr"/>
      <c r="O35" t="inlineStr"/>
      <c r="P35" t="inlineStr"/>
      <c r="Q35" t="inlineStr"/>
      <c r="R35" t="inlineStr">
        <is>
          <t>https://clinicaltrials.gov/study/NCT05065710</t>
        </is>
      </c>
      <c r="S35" t="inlineStr">
        <is>
          <t>2026-10-29</t>
        </is>
      </c>
      <c r="T35" t="inlineStr"/>
      <c r="U35" t="inlineStr"/>
      <c r="V35" t="inlineStr">
        <is>
          <t>Y</t>
        </is>
      </c>
      <c r="W35" t="inlineStr">
        <is>
          <t>N</t>
        </is>
      </c>
      <c r="X35" t="inlineStr">
        <is>
          <t>Y</t>
        </is>
      </c>
      <c r="Y35" t="inlineStr">
        <is>
          <t>Y</t>
        </is>
      </c>
      <c r="Z35" t="inlineStr">
        <is>
          <t>OUT</t>
        </is>
      </c>
      <c r="AA35" t="inlineStr">
        <is>
          <t>Naked mAb</t>
        </is>
      </c>
      <c r="AB35" t="inlineStr">
        <is>
          <t>https://api-evsrest.nci.nih.gov/api/v1/concept/ncit/C191757?include=summary — "An engineered monoclonal antibody directed against the tumor-associated antigen (TAA) Claudin18.2 (CLDN18.2; A2 isoform of claudin-18), with potential immunostimulating and antineoplastic activities."</t>
        </is>
      </c>
    </row>
    <row r="36">
      <c r="A36" t="inlineStr">
        <is>
          <t>CL-35</t>
        </is>
      </c>
      <c r="B36" t="inlineStr">
        <is>
          <t>BNT141</t>
        </is>
      </c>
      <c r="C36" t="inlineStr"/>
      <c r="D36" t="inlineStr">
        <is>
          <t>Claudin 18.2</t>
        </is>
      </c>
      <c r="E36" t="inlineStr"/>
      <c r="F36" t="inlineStr">
        <is>
          <t>Monoclonal antibody</t>
        </is>
      </c>
      <c r="G36" t="inlineStr">
        <is>
          <t>Oncology</t>
        </is>
      </c>
      <c r="H36" t="inlineStr">
        <is>
          <t>Solid Tumor; Gastric Cancer; Gastroesophageal Junction Adenocarcinoma; Esophageal Adenocarcinoma; Pancreatic Cancer; Biliary Tract Cancer</t>
        </is>
      </c>
      <c r="I36" t="inlineStr">
        <is>
          <t>Phase 2</t>
        </is>
      </c>
      <c r="J36" t="inlineStr">
        <is>
          <t>All registered trials terminated or withdrawn</t>
        </is>
      </c>
      <c r="K36" t="inlineStr">
        <is>
          <t>2024-10-02</t>
        </is>
      </c>
      <c r="L36" t="inlineStr">
        <is>
          <t>BioNTech SE</t>
        </is>
      </c>
      <c r="M36" t="inlineStr">
        <is>
          <t>NCT04683939</t>
        </is>
      </c>
      <c r="N36" t="inlineStr"/>
      <c r="O36" t="inlineStr"/>
      <c r="P36" t="inlineStr"/>
      <c r="Q36" t="inlineStr"/>
      <c r="R36" t="inlineStr">
        <is>
          <t>https://clinicaltrials.gov/study/NCT04683939</t>
        </is>
      </c>
      <c r="S36" t="inlineStr">
        <is>
          <t>2026-10-29</t>
        </is>
      </c>
      <c r="T36" t="inlineStr"/>
      <c r="U36" t="inlineStr"/>
      <c r="V36" t="inlineStr">
        <is>
          <t>Y</t>
        </is>
      </c>
      <c r="W36" t="inlineStr">
        <is>
          <t>N</t>
        </is>
      </c>
      <c r="X36" t="inlineStr">
        <is>
          <t>Y</t>
        </is>
      </c>
      <c r="Y36" t="inlineStr">
        <is>
          <t>Y</t>
        </is>
      </c>
      <c r="Z36" t="inlineStr">
        <is>
          <t>OUT</t>
        </is>
      </c>
      <c r="AA36" t="inlineStr">
        <is>
          <t>mRNA-encoded naked mAb; discontinued</t>
        </is>
      </c>
      <c r="AB36" t="inlineStr">
        <is>
          <t>https://api-evsrest.nci.nih.gov/api/v1/concept/ncit/C179620?include=summary — "A lipid nanoparticle (LNP) encapsulating a messenger RNA (mRNA) encoding for a monoclonal antibody directed against the tumor-associated antigen (TAA) Claudin18.2 (CLDN18.2; A2 isoform of claudin-18), with potential immu"</t>
        </is>
      </c>
    </row>
    <row r="37">
      <c r="A37" t="inlineStr">
        <is>
          <t>CL-36</t>
        </is>
      </c>
      <c r="B37" t="inlineStr">
        <is>
          <t>AMG 910</t>
        </is>
      </c>
      <c r="C37" t="inlineStr"/>
      <c r="D37" t="inlineStr">
        <is>
          <t>Claudin 18.2; CD3</t>
        </is>
      </c>
      <c r="E37" t="inlineStr"/>
      <c r="F37" t="inlineStr">
        <is>
          <t>Bispecific antibody</t>
        </is>
      </c>
      <c r="G37" t="inlineStr">
        <is>
          <t>Oncology</t>
        </is>
      </c>
      <c r="H37" t="inlineStr">
        <is>
          <t>Gastric and Gastroesophageal Junction Adenocarcinoma</t>
        </is>
      </c>
      <c r="I37" t="inlineStr">
        <is>
          <t>Phase 1</t>
        </is>
      </c>
      <c r="J37" t="inlineStr">
        <is>
          <t>All registered trials terminated or withdrawn</t>
        </is>
      </c>
      <c r="K37" t="inlineStr">
        <is>
          <t>2024-01-25</t>
        </is>
      </c>
      <c r="L37" t="inlineStr">
        <is>
          <t>Amgen</t>
        </is>
      </c>
      <c r="M37" t="inlineStr">
        <is>
          <t>NCT04260191</t>
        </is>
      </c>
      <c r="N37" t="inlineStr"/>
      <c r="O37" t="inlineStr"/>
      <c r="P37" t="inlineStr"/>
      <c r="Q37" t="inlineStr"/>
      <c r="R37" t="inlineStr">
        <is>
          <t>https://clinicaltrials.gov/study/NCT04260191</t>
        </is>
      </c>
      <c r="S37" t="inlineStr">
        <is>
          <t>2026-10-29</t>
        </is>
      </c>
      <c r="T37" t="inlineStr"/>
      <c r="U37" t="inlineStr"/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>
        <is>
          <t>Y</t>
        </is>
      </c>
      <c r="Z37" t="inlineStr">
        <is>
          <t>IN</t>
        </is>
      </c>
      <c r="AA37" t="inlineStr">
        <is>
          <t>CLDN18.2xCD3 BiTE, Phase 1 G/GEJ human data; terminated (inactive)</t>
        </is>
      </c>
      <c r="AB37" t="inlineStr">
        <is>
          <t>landscape cell</t>
        </is>
      </c>
    </row>
    <row r="38">
      <c r="A38" t="inlineStr">
        <is>
          <t>CL-37</t>
        </is>
      </c>
      <c r="B38" t="inlineStr">
        <is>
          <t>TORL-2-307-ADC</t>
        </is>
      </c>
      <c r="C38" t="inlineStr"/>
      <c r="D38" t="inlineStr">
        <is>
          <t>Claudin 18.2</t>
        </is>
      </c>
      <c r="E38" t="inlineStr"/>
      <c r="F38" t="inlineStr">
        <is>
          <t>Antibody-drug conjugate</t>
        </is>
      </c>
      <c r="G38" t="inlineStr">
        <is>
          <t>Oncology</t>
        </is>
      </c>
      <c r="H38" t="inlineStr">
        <is>
          <t>Advanced Solid Tumor; Gastric Cancer; Pancreas Cancer; Gastroesophageal Junction Adenocarcinoma</t>
        </is>
      </c>
      <c r="I38" t="inlineStr">
        <is>
          <t>Phase 1</t>
        </is>
      </c>
      <c r="J38" t="inlineStr">
        <is>
          <t>Active trial in registry</t>
        </is>
      </c>
      <c r="K38" t="inlineStr">
        <is>
          <t>2026-01-13</t>
        </is>
      </c>
      <c r="L38" t="inlineStr">
        <is>
          <t>TORL Biotherapeutics, LLC</t>
        </is>
      </c>
      <c r="M38" t="inlineStr">
        <is>
          <t>NCT05156866</t>
        </is>
      </c>
      <c r="N38" t="inlineStr"/>
      <c r="O38" t="inlineStr"/>
      <c r="P38" t="inlineStr"/>
      <c r="Q38" t="inlineStr">
        <is>
          <t>Translational Research in Oncology</t>
        </is>
      </c>
      <c r="R38" t="inlineStr">
        <is>
          <t>https://clinicaltrials.gov/study/NCT05156866</t>
        </is>
      </c>
      <c r="S38" t="inlineStr">
        <is>
          <t>2026-10-29</t>
        </is>
      </c>
      <c r="T38" t="inlineStr"/>
      <c r="U38" t="inlineStr"/>
      <c r="V38" t="inlineStr">
        <is>
          <t>Y</t>
        </is>
      </c>
      <c r="W38" t="inlineStr">
        <is>
          <t>Y</t>
        </is>
      </c>
      <c r="X38" t="inlineStr">
        <is>
          <t>Y</t>
        </is>
      </c>
      <c r="Y38" t="inlineStr">
        <is>
          <t>Y</t>
        </is>
      </c>
      <c r="Z38" t="inlineStr">
        <is>
          <t>IN</t>
        </is>
      </c>
      <c r="AA38" t="inlineStr">
        <is>
          <t>CLDN18.2 MMAE ADC; Phase 1 incl. gastric/GEJ</t>
        </is>
      </c>
      <c r="AB38" t="inlineStr">
        <is>
          <t>landscape cell</t>
        </is>
      </c>
    </row>
    <row r="39">
      <c r="A39" t="inlineStr">
        <is>
          <t>CL-38</t>
        </is>
      </c>
      <c r="B39" t="inlineStr">
        <is>
          <t>LCB02A</t>
        </is>
      </c>
      <c r="C39" t="inlineStr"/>
      <c r="D39" t="inlineStr">
        <is>
          <t>Claudin 18.2</t>
        </is>
      </c>
      <c r="E39" t="inlineStr"/>
      <c r="F39" t="inlineStr">
        <is>
          <t>Monoclonal antibody</t>
        </is>
      </c>
      <c r="G39" t="inlineStr">
        <is>
          <t>Oncology</t>
        </is>
      </c>
      <c r="H39" t="inlineStr">
        <is>
          <t>Advanced Solid Tumors</t>
        </is>
      </c>
      <c r="I39" t="inlineStr">
        <is>
          <t>Phase 2</t>
        </is>
      </c>
      <c r="J39" t="inlineStr">
        <is>
          <t>Active trial in registry</t>
        </is>
      </c>
      <c r="K39" t="inlineStr">
        <is>
          <t>2026-10-19</t>
        </is>
      </c>
      <c r="L39" t="inlineStr">
        <is>
          <t>LigaChem Biosciences, Inc.</t>
        </is>
      </c>
      <c r="M39" t="inlineStr">
        <is>
          <t>NCT07460375</t>
        </is>
      </c>
      <c r="N39" t="inlineStr"/>
      <c r="O39" t="inlineStr"/>
      <c r="P39" t="inlineStr"/>
      <c r="Q39" t="inlineStr">
        <is>
          <t>AntibodyChem Biosciences, Inc.</t>
        </is>
      </c>
      <c r="R39" t="inlineStr">
        <is>
          <t>https://clinicaltrials.gov/study/NCT07460375</t>
        </is>
      </c>
      <c r="S39" t="inlineStr">
        <is>
          <t>2026-10-29</t>
        </is>
      </c>
      <c r="T39" t="inlineStr"/>
      <c r="U39" t="inlineStr"/>
      <c r="V39" t="inlineStr">
        <is>
          <t>Y</t>
        </is>
      </c>
      <c r="W39" t="inlineStr">
        <is>
          <t>Y</t>
        </is>
      </c>
      <c r="X39" t="inlineStr">
        <is>
          <t>?</t>
        </is>
      </c>
      <c r="Y39" t="inlineStr">
        <is>
          <t>Y</t>
        </is>
      </c>
      <c r="Z39" t="inlineStr">
        <is>
          <t>IN</t>
        </is>
      </c>
      <c r="AA39" t="inlineStr">
        <is>
          <t>Landscape says mAb but LCB02A is an ADC (ConjuAll); Phase 1/2 solid tumours</t>
        </is>
      </c>
      <c r="AB39" t="inlineStr">
        <is>
          <t>landscape cell</t>
        </is>
      </c>
    </row>
    <row r="40">
      <c r="A40" t="inlineStr">
        <is>
          <t>CL-39</t>
        </is>
      </c>
      <c r="B40" t="inlineStr">
        <is>
          <t>Q-1802</t>
        </is>
      </c>
      <c r="C40" t="inlineStr"/>
      <c r="D40" t="inlineStr">
        <is>
          <t>Claudin 18.2; PD-L1</t>
        </is>
      </c>
      <c r="E40" t="inlineStr"/>
      <c r="F40" t="inlineStr">
        <is>
          <t>Bispecific antibody</t>
        </is>
      </c>
      <c r="G40" t="inlineStr">
        <is>
          <t>Oncology</t>
        </is>
      </c>
      <c r="H40" t="inlineStr">
        <is>
          <t>Advanced Solid Tumors</t>
        </is>
      </c>
      <c r="I40" t="inlineStr">
        <is>
          <t>Phase 1</t>
        </is>
      </c>
      <c r="J40" t="inlineStr">
        <is>
          <t>Registry: no active trial (UNKNOWN)</t>
        </is>
      </c>
      <c r="K40" t="inlineStr">
        <is>
          <t>2023-07-27</t>
        </is>
      </c>
      <c r="L40" t="inlineStr">
        <is>
          <t>QureBio Ltd.</t>
        </is>
      </c>
      <c r="M40" t="inlineStr">
        <is>
          <t>NCT04856150</t>
        </is>
      </c>
      <c r="N40" t="inlineStr"/>
      <c r="O40" t="inlineStr"/>
      <c r="P40" t="inlineStr"/>
      <c r="Q40" t="inlineStr"/>
      <c r="R40" t="inlineStr">
        <is>
          <t>https://clinicaltrials.gov/study/NCT04856150</t>
        </is>
      </c>
      <c r="S40" t="inlineStr">
        <is>
          <t>2026-10-29</t>
        </is>
      </c>
      <c r="T40" t="inlineStr"/>
      <c r="U40" t="inlineStr"/>
      <c r="V40" t="inlineStr">
        <is>
          <t>Y</t>
        </is>
      </c>
      <c r="W40" t="inlineStr">
        <is>
          <t>Y</t>
        </is>
      </c>
      <c r="X40" t="inlineStr">
        <is>
          <t>?</t>
        </is>
      </c>
      <c r="Y40" t="inlineStr">
        <is>
          <t>Y</t>
        </is>
      </c>
      <c r="Z40" t="inlineStr">
        <is>
          <t>IN</t>
        </is>
      </c>
      <c r="AA40" t="inlineStr">
        <is>
          <t>CLDN18.2xPD-L1 bispecific, Phase 1 solid tumours; status unknown</t>
        </is>
      </c>
      <c r="AB40" t="inlineStr">
        <is>
          <t>https://api-evsrest.nci.nih.gov/api/v1/concept/ncit/C180675?include=summary — "A bispecific antibody directed against both the immunosuppressive ligand programmed cell death-1 ligand 1 (PD-L1; cluster of differentiation 274; CD274) and the tumor-associated antigen (TAA) Claudin18.2 (CLDN18.2; A2 is"</t>
        </is>
      </c>
    </row>
    <row r="41">
      <c r="A41" t="inlineStr">
        <is>
          <t>CL-40</t>
        </is>
      </c>
      <c r="B41" t="inlineStr">
        <is>
          <t>MIL93</t>
        </is>
      </c>
      <c r="C41" t="inlineStr"/>
      <c r="D41" t="inlineStr">
        <is>
          <t>Claudin 18.2</t>
        </is>
      </c>
      <c r="E41" t="inlineStr"/>
      <c r="F41" t="inlineStr">
        <is>
          <t>Monoclonal antibody</t>
        </is>
      </c>
      <c r="G41" t="inlineStr">
        <is>
          <t>Oncology</t>
        </is>
      </c>
      <c r="H41" t="inlineStr">
        <is>
          <t>Advanced Malignancies</t>
        </is>
      </c>
      <c r="I41" t="inlineStr">
        <is>
          <t>Phase 1</t>
        </is>
      </c>
      <c r="J41" t="inlineStr">
        <is>
          <t>Registry: no active trial (UNKNOWN)</t>
        </is>
      </c>
      <c r="K41" t="inlineStr">
        <is>
          <t>2024-03-13</t>
        </is>
      </c>
      <c r="L41" t="inlineStr">
        <is>
          <t>Beijing Mabworks Biotech Co., Ltd.</t>
        </is>
      </c>
      <c r="M41" t="inlineStr">
        <is>
          <t>NCT04671875</t>
        </is>
      </c>
      <c r="N41" t="inlineStr"/>
      <c r="O41" t="inlineStr"/>
      <c r="P41" t="inlineStr"/>
      <c r="Q41" t="inlineStr"/>
      <c r="R41" t="inlineStr">
        <is>
          <t>https://clinicaltrials.gov/study/NCT04671875</t>
        </is>
      </c>
      <c r="S41" t="inlineStr">
        <is>
          <t>2026-10-29</t>
        </is>
      </c>
      <c r="T41" t="inlineStr"/>
      <c r="U41" t="inlineStr"/>
      <c r="V41" t="inlineStr">
        <is>
          <t>Y</t>
        </is>
      </c>
      <c r="W41" t="inlineStr">
        <is>
          <t>N</t>
        </is>
      </c>
      <c r="X41" t="inlineStr">
        <is>
          <t>Y</t>
        </is>
      </c>
      <c r="Y41" t="inlineStr">
        <is>
          <t>Y</t>
        </is>
      </c>
      <c r="Z41" t="inlineStr">
        <is>
          <t>OUT</t>
        </is>
      </c>
      <c r="AA41" t="inlineStr">
        <is>
          <t>Naked mAb</t>
        </is>
      </c>
      <c r="AB41" t="inlineStr">
        <is>
          <t>https://api-evsrest.nci.nih.gov/api/v1/concept/ncit/C179602?include=summary — "A recombinant humanized immunoglobulin G1 (IgG1) monoclonal antibody directed against the tumor-associated antigen (TAA) Claudin18.2 (CLDN18.2; A2 isoform of claudin-18), with potential immunostimulating and antineoplast"</t>
        </is>
      </c>
    </row>
    <row r="42">
      <c r="A42" t="inlineStr">
        <is>
          <t>CL-41</t>
        </is>
      </c>
      <c r="B42" t="inlineStr">
        <is>
          <t>LB4330</t>
        </is>
      </c>
      <c r="C42" t="inlineStr"/>
      <c r="D42" t="inlineStr">
        <is>
          <t>Claudin 18.2</t>
        </is>
      </c>
      <c r="E42" t="inlineStr"/>
      <c r="F42" t="inlineStr"/>
      <c r="G42" t="inlineStr">
        <is>
          <t>Oncology</t>
        </is>
      </c>
      <c r="H42" t="inlineStr">
        <is>
          <t>Solid Tumor</t>
        </is>
      </c>
      <c r="I42" t="inlineStr">
        <is>
          <t>Phase 2</t>
        </is>
      </c>
      <c r="J42" t="inlineStr">
        <is>
          <t>Active trial in registry</t>
        </is>
      </c>
      <c r="K42" t="inlineStr">
        <is>
          <t>2025-09-11</t>
        </is>
      </c>
      <c r="L42" t="inlineStr">
        <is>
          <t>L &amp; L Bio Co., Ltd., Ningbo, China</t>
        </is>
      </c>
      <c r="M42" t="inlineStr">
        <is>
          <t>NCT05707676; NCT06468358</t>
        </is>
      </c>
      <c r="N42" t="inlineStr"/>
      <c r="O42" t="inlineStr"/>
      <c r="P42" t="inlineStr"/>
      <c r="Q42" t="inlineStr">
        <is>
          <t>Shanghai East Hospital</t>
        </is>
      </c>
      <c r="R42" t="inlineStr">
        <is>
          <t>https://clinicaltrials.gov/study/NCT05707676; https://clinicaltrials.gov/study/NCT06468358</t>
        </is>
      </c>
      <c r="S42" t="inlineStr">
        <is>
          <t>2026-10-29</t>
        </is>
      </c>
      <c r="T42" t="inlineStr"/>
      <c r="U42" t="inlineStr"/>
      <c r="V42" t="inlineStr">
        <is>
          <t>Y</t>
        </is>
      </c>
      <c r="W42" t="inlineStr">
        <is>
          <t>N</t>
        </is>
      </c>
      <c r="X42" t="inlineStr">
        <is>
          <t>Y</t>
        </is>
      </c>
      <c r="Y42" t="inlineStr">
        <is>
          <t>Y</t>
        </is>
      </c>
      <c r="Z42" t="inlineStr">
        <is>
          <t>OUT</t>
        </is>
      </c>
      <c r="AA42" t="inlineStr">
        <is>
          <t>anti-CLDN18.2/IL-10 fusion protein - not ADC/bispecific</t>
        </is>
      </c>
      <c r="AB42" t="inlineStr">
        <is>
          <t>https://clinicaltrials.gov/api/v2/studies?query.term=LB4330&amp;fields=NCTId,BriefTitle,OfficialTitle,LeadSponsorName,OverallStatus,InterventionName,InterventionDescription&amp;pageSize=3 — "anti-claudin18.2/IL-10 fusion protein"</t>
        </is>
      </c>
    </row>
    <row r="43">
      <c r="A43" t="inlineStr">
        <is>
          <t>CL-42</t>
        </is>
      </c>
      <c r="B43" t="inlineStr">
        <is>
          <t>LB1908</t>
        </is>
      </c>
      <c r="C43" t="inlineStr"/>
      <c r="D43" t="inlineStr">
        <is>
          <t>Claudin 18.2</t>
        </is>
      </c>
      <c r="E43" t="inlineStr"/>
      <c r="F43" t="inlineStr">
        <is>
          <t>CAR-T</t>
        </is>
      </c>
      <c r="G43" t="inlineStr">
        <is>
          <t>Oncology</t>
        </is>
      </c>
      <c r="H43" t="inlineStr">
        <is>
          <t>Gastric Cancer; Gastroesophageal-junction Cancer; Esophageal Cancer; Pancreatic Cancer</t>
        </is>
      </c>
      <c r="I43" t="inlineStr">
        <is>
          <t>Phase 1</t>
        </is>
      </c>
      <c r="J43" t="inlineStr">
        <is>
          <t>Active trial in registry</t>
        </is>
      </c>
      <c r="K43" t="inlineStr">
        <is>
          <t>2026-09-02</t>
        </is>
      </c>
      <c r="L43" t="inlineStr">
        <is>
          <t>Legend Biotech USA Inc</t>
        </is>
      </c>
      <c r="M43" t="inlineStr">
        <is>
          <t>NCT05539430</t>
        </is>
      </c>
      <c r="N43" t="inlineStr"/>
      <c r="O43" t="inlineStr"/>
      <c r="P43" t="inlineStr"/>
      <c r="Q43" t="inlineStr"/>
      <c r="R43" t="inlineStr">
        <is>
          <t>https://clinicaltrials.gov/study/NCT05539430</t>
        </is>
      </c>
      <c r="S43" t="inlineStr">
        <is>
          <t>2026-10-29</t>
        </is>
      </c>
      <c r="T43" t="inlineStr"/>
      <c r="U43" t="inlineStr"/>
      <c r="V43" t="inlineStr">
        <is>
          <t>Y</t>
        </is>
      </c>
      <c r="W43" t="inlineStr">
        <is>
          <t>N</t>
        </is>
      </c>
      <c r="X43" t="inlineStr">
        <is>
          <t>Y</t>
        </is>
      </c>
      <c r="Y43" t="inlineStr">
        <is>
          <t>Y</t>
        </is>
      </c>
      <c r="Z43" t="inlineStr">
        <is>
          <t>OUT</t>
        </is>
      </c>
      <c r="AA43" t="inlineStr">
        <is>
          <t>CAR-T</t>
        </is>
      </c>
      <c r="AB43" t="inlineStr">
        <is>
          <t>https://api-evsrest.nci.nih.gov/api/v1/concept/ncit/C192206?include=summary — "A preparation of autologous T-lymphocytes engineered to express a chimeric antigen receptor (CAR) specific for the tumor-associated antigen (TAA) Claudin18.2 (CLDN18.2; A2 isoform of claudin-18), with potential immunosti"</t>
        </is>
      </c>
    </row>
    <row r="44">
      <c r="A44" t="inlineStr">
        <is>
          <t>CL-43</t>
        </is>
      </c>
      <c r="B44" t="inlineStr">
        <is>
          <t>TQB2103</t>
        </is>
      </c>
      <c r="C44" t="inlineStr"/>
      <c r="D44" t="inlineStr">
        <is>
          <t>Claudin 18.2</t>
        </is>
      </c>
      <c r="E44" t="inlineStr"/>
      <c r="F44" t="inlineStr">
        <is>
          <t>Antibody-drug conjugate</t>
        </is>
      </c>
      <c r="G44" t="inlineStr">
        <is>
          <t>Oncology</t>
        </is>
      </c>
      <c r="H44" t="inlineStr">
        <is>
          <t>Advanced Malignant Neoplasm</t>
        </is>
      </c>
      <c r="I44" t="inlineStr">
        <is>
          <t>Phase 1</t>
        </is>
      </c>
      <c r="J44" t="inlineStr">
        <is>
          <t>Registry: no active trial (UNKNOWN)</t>
        </is>
      </c>
      <c r="K44" t="inlineStr">
        <is>
          <t>2023-07-10</t>
        </is>
      </c>
      <c r="L44" t="inlineStr">
        <is>
          <t>Chia Tai Tianqing Pharmaceutical Group Nanjing Shunxin Pharmaceutical Co., Ltd.</t>
        </is>
      </c>
      <c r="M44" t="inlineStr">
        <is>
          <t>NCT05867563</t>
        </is>
      </c>
      <c r="N44" t="inlineStr"/>
      <c r="O44" t="inlineStr"/>
      <c r="P44" t="inlineStr"/>
      <c r="Q44" t="inlineStr"/>
      <c r="R44" t="inlineStr">
        <is>
          <t>https://clinicaltrials.gov/study/NCT05867563</t>
        </is>
      </c>
      <c r="S44" t="inlineStr">
        <is>
          <t>2026-10-29</t>
        </is>
      </c>
      <c r="T44" t="inlineStr"/>
      <c r="U44" t="inlineStr"/>
      <c r="V44" t="inlineStr">
        <is>
          <t>Y</t>
        </is>
      </c>
      <c r="W44" t="inlineStr">
        <is>
          <t>Y</t>
        </is>
      </c>
      <c r="X44" t="inlineStr">
        <is>
          <t>?</t>
        </is>
      </c>
      <c r="Y44" t="inlineStr">
        <is>
          <t>Y</t>
        </is>
      </c>
      <c r="Z44" t="inlineStr">
        <is>
          <t>IN</t>
        </is>
      </c>
      <c r="AA44" t="inlineStr">
        <is>
          <t>CLDN18.2 ADC, Phase 1 solid tumours; status unknown</t>
        </is>
      </c>
      <c r="AB44" t="inlineStr">
        <is>
          <t>https://api-evsrest.nci.nih.gov/api/v1/concept/ncit/C200908?include=summary — "An antibody-drug conjugate (ADC) composed of a humanized monoclonal antibody directed against the tumor-associated antigen (TAA) claudin 18.2 (CLDN18.2; A2 isoform of claudin-18) conjugated via a cleavable linker, to an"</t>
        </is>
      </c>
    </row>
    <row r="45">
      <c r="A45" t="inlineStr">
        <is>
          <t>CL-44</t>
        </is>
      </c>
      <c r="B45" t="inlineStr">
        <is>
          <t>SG1906</t>
        </is>
      </c>
      <c r="C45" t="inlineStr"/>
      <c r="D45" t="inlineStr">
        <is>
          <t>Claudin 18.2; CD47</t>
        </is>
      </c>
      <c r="E45" t="inlineStr"/>
      <c r="F45" t="inlineStr">
        <is>
          <t>Bispecific antibody</t>
        </is>
      </c>
      <c r="G45" t="inlineStr">
        <is>
          <t>Oncology</t>
        </is>
      </c>
      <c r="H45" t="inlineStr">
        <is>
          <t>Locally Advanced Unresectable or Metastatic Solid Tumors</t>
        </is>
      </c>
      <c r="I45" t="inlineStr">
        <is>
          <t>Phase 1</t>
        </is>
      </c>
      <c r="J45" t="inlineStr">
        <is>
          <t>Active trial in registry</t>
        </is>
      </c>
      <c r="K45" t="inlineStr">
        <is>
          <t>2026-08-11</t>
        </is>
      </c>
      <c r="L45" t="inlineStr">
        <is>
          <t>Hangzhou Sumgen Biotech Co., Ltd.</t>
        </is>
      </c>
      <c r="M45" t="inlineStr">
        <is>
          <t>NCT05857332</t>
        </is>
      </c>
      <c r="N45" t="inlineStr"/>
      <c r="O45" t="inlineStr"/>
      <c r="P45" t="inlineStr"/>
      <c r="Q45" t="inlineStr"/>
      <c r="R45" t="inlineStr">
        <is>
          <t>https://clinicaltrials.gov/study/NCT05857332</t>
        </is>
      </c>
      <c r="S45" t="inlineStr">
        <is>
          <t>2026-10-29</t>
        </is>
      </c>
      <c r="T45" t="inlineStr"/>
      <c r="U45" t="inlineStr"/>
      <c r="V45" t="inlineStr">
        <is>
          <t>Y</t>
        </is>
      </c>
      <c r="W45" t="inlineStr">
        <is>
          <t>Y</t>
        </is>
      </c>
      <c r="X45" t="inlineStr">
        <is>
          <t>?</t>
        </is>
      </c>
      <c r="Y45" t="inlineStr">
        <is>
          <t>Y</t>
        </is>
      </c>
      <c r="Z45" t="inlineStr">
        <is>
          <t>IN</t>
        </is>
      </c>
      <c r="AA45" t="inlineStr">
        <is>
          <t>CLDN18.2xCD47 bispecific, Phase 1 solid tumours</t>
        </is>
      </c>
      <c r="AB45" t="inlineStr">
        <is>
          <t>https://api-evsrest.nci.nih.gov/api/v1/concept/ncit/C200799?include=summary — "A recombinant, immunoglobulin G1 (IgG1) bispecific antibody directed against both the tumor-associated antigen (TAA) Claudin18.2 (CLDN18.2; A2 isoform of claudin-18) and the human cell surface antigen CD47, with potentia"</t>
        </is>
      </c>
    </row>
    <row r="46">
      <c r="A46" t="inlineStr">
        <is>
          <t>CL-45</t>
        </is>
      </c>
      <c r="B46" t="inlineStr">
        <is>
          <t>DR30303</t>
        </is>
      </c>
      <c r="C46" t="inlineStr"/>
      <c r="D46" t="inlineStr">
        <is>
          <t>Claudin 18.2</t>
        </is>
      </c>
      <c r="E46" t="inlineStr"/>
      <c r="F46" t="inlineStr"/>
      <c r="G46" t="inlineStr">
        <is>
          <t>Oncology</t>
        </is>
      </c>
      <c r="H46" t="inlineStr">
        <is>
          <t>Malignant Neoplasm of Digestive System</t>
        </is>
      </c>
      <c r="I46" t="inlineStr">
        <is>
          <t>Phase 1</t>
        </is>
      </c>
      <c r="J46" t="inlineStr">
        <is>
          <t>All registered trials terminated or withdrawn</t>
        </is>
      </c>
      <c r="K46" t="inlineStr">
        <is>
          <t>2026-04-13</t>
        </is>
      </c>
      <c r="L46" t="inlineStr">
        <is>
          <t>Zhejiang Doer Biologics Co., Ltd.</t>
        </is>
      </c>
      <c r="M46" t="inlineStr">
        <is>
          <t>NCT05639153</t>
        </is>
      </c>
      <c r="N46" t="inlineStr"/>
      <c r="O46" t="inlineStr"/>
      <c r="P46" t="inlineStr"/>
      <c r="Q46" t="inlineStr"/>
      <c r="R46" t="inlineStr">
        <is>
          <t>https://clinicaltrials.gov/study/NCT05639153</t>
        </is>
      </c>
      <c r="S46" t="inlineStr">
        <is>
          <t>2026-10-29</t>
        </is>
      </c>
      <c r="T46" t="inlineStr"/>
      <c r="U46" t="inlineStr"/>
      <c r="V46" t="inlineStr">
        <is>
          <t>Y</t>
        </is>
      </c>
      <c r="W46" t="inlineStr">
        <is>
          <t>N</t>
        </is>
      </c>
      <c r="X46" t="inlineStr">
        <is>
          <t>Y</t>
        </is>
      </c>
      <c r="Y46" t="inlineStr">
        <is>
          <t>Y</t>
        </is>
      </c>
      <c r="Z46" t="inlineStr">
        <is>
          <t>OUT</t>
        </is>
      </c>
      <c r="AA46" t="inlineStr">
        <is>
          <t>VHH-Fc antibody (naked)</t>
        </is>
      </c>
      <c r="AB46" t="inlineStr">
        <is>
          <t>https://api-evsrest.nci.nih.gov/api/v1/concept/ncit/C198698?include=summary — "A fusion protein composed of a recombinant humanized anti-Claudin18.2 (CLDN18.2; A2 isoform of claudin-18) heavy chain antibody (VHH) fused to an engineered immunoglobulin gamma-1 (IgG1) Fc fragment, with potential immun"</t>
        </is>
      </c>
    </row>
    <row r="47">
      <c r="A47" t="inlineStr">
        <is>
          <t>CL-46</t>
        </is>
      </c>
      <c r="B47" t="inlineStr">
        <is>
          <t>VBC108</t>
        </is>
      </c>
      <c r="C47" t="inlineStr"/>
      <c r="D47" t="inlineStr">
        <is>
          <t>Claudin 18.2</t>
        </is>
      </c>
      <c r="E47" t="inlineStr"/>
      <c r="F47" t="inlineStr">
        <is>
          <t>Antibody-drug conjugate</t>
        </is>
      </c>
      <c r="G47" t="inlineStr">
        <is>
          <t>Oncology</t>
        </is>
      </c>
      <c r="H47" t="inlineStr">
        <is>
          <t>Advanced Solid Tumors</t>
        </is>
      </c>
      <c r="I47" t="inlineStr">
        <is>
          <t>Phase 2</t>
        </is>
      </c>
      <c r="J47" t="inlineStr">
        <is>
          <t>Active trial in registry</t>
        </is>
      </c>
      <c r="K47" t="inlineStr">
        <is>
          <t>2026-09-01</t>
        </is>
      </c>
      <c r="L47" t="inlineStr">
        <is>
          <t>VelaVigo Bio Inc</t>
        </is>
      </c>
      <c r="M47" t="inlineStr">
        <is>
          <t>NCT07700160</t>
        </is>
      </c>
      <c r="N47" t="inlineStr"/>
      <c r="O47" t="inlineStr"/>
      <c r="P47" t="inlineStr"/>
      <c r="Q47" t="inlineStr"/>
      <c r="R47" t="inlineStr">
        <is>
          <t>https://clinicaltrials.gov/study/NCT07700160</t>
        </is>
      </c>
      <c r="S47" t="inlineStr">
        <is>
          <t>2026-10-29</t>
        </is>
      </c>
      <c r="T47" t="inlineStr"/>
      <c r="U47" t="inlineStr"/>
      <c r="V47" t="inlineStr">
        <is>
          <t>Y</t>
        </is>
      </c>
      <c r="W47" t="inlineStr">
        <is>
          <t>Y</t>
        </is>
      </c>
      <c r="X47" t="inlineStr">
        <is>
          <t>?</t>
        </is>
      </c>
      <c r="Y47" t="inlineStr">
        <is>
          <t>Y</t>
        </is>
      </c>
      <c r="Z47" t="inlineStr">
        <is>
          <t>IN</t>
        </is>
      </c>
      <c r="AA47" t="inlineStr">
        <is>
          <t>CLDN18.2xCDH17 bispecific ADC; Phase 1/2a solid tumours</t>
        </is>
      </c>
      <c r="AB47" t="inlineStr">
        <is>
          <t>https://clinicaltrials.gov/api/v2/studies?query.term=VBC108&amp;fields=NCTId,BriefTitle,OfficialTitle,LeadSponsorName,OverallStatus,InterventionName,InterventionDescription&amp;pageSize=3 — "Phase 1/2a Open-label Clinical Trial Evaluating VBC108, a CLDN18.2 and CDH17-directed Bi-specific Antibody Drug Conjugate, in Participants With Advanced Malignant Solid Tumors"</t>
        </is>
      </c>
    </row>
    <row r="48">
      <c r="A48" t="inlineStr">
        <is>
          <t>CL-47</t>
        </is>
      </c>
      <c r="B48" t="inlineStr">
        <is>
          <t>IBI345</t>
        </is>
      </c>
      <c r="C48" t="inlineStr"/>
      <c r="D48" t="inlineStr">
        <is>
          <t>Claudin 18.2</t>
        </is>
      </c>
      <c r="E48" t="inlineStr"/>
      <c r="F48" t="inlineStr">
        <is>
          <t>CAR-T</t>
        </is>
      </c>
      <c r="G48" t="inlineStr">
        <is>
          <t>Oncology</t>
        </is>
      </c>
      <c r="H48" t="inlineStr">
        <is>
          <t>CLDN18.2 Positive Solid Tumors</t>
        </is>
      </c>
      <c r="I48" t="inlineStr">
        <is>
          <t>Phase 1</t>
        </is>
      </c>
      <c r="J48" t="inlineStr">
        <is>
          <t>Registry: no active trial (COMPLETED)</t>
        </is>
      </c>
      <c r="K48" t="inlineStr">
        <is>
          <t>2023-05-24</t>
        </is>
      </c>
      <c r="L48" t="inlineStr">
        <is>
          <t>Innovent Biologics (Suzhou) Co. Ltd.</t>
        </is>
      </c>
      <c r="M48" t="inlineStr">
        <is>
          <t>NCT05199519</t>
        </is>
      </c>
      <c r="N48" t="inlineStr"/>
      <c r="O48" t="inlineStr"/>
      <c r="P48" t="inlineStr"/>
      <c r="Q48" t="inlineStr"/>
      <c r="R48" t="inlineStr">
        <is>
          <t>https://clinicaltrials.gov/study/NCT05199519</t>
        </is>
      </c>
      <c r="S48" t="inlineStr">
        <is>
          <t>2026-10-29</t>
        </is>
      </c>
      <c r="T48" t="inlineStr"/>
      <c r="U48" t="inlineStr"/>
      <c r="V48" t="inlineStr">
        <is>
          <t>Y</t>
        </is>
      </c>
      <c r="W48" t="inlineStr">
        <is>
          <t>N</t>
        </is>
      </c>
      <c r="X48" t="inlineStr">
        <is>
          <t>Y</t>
        </is>
      </c>
      <c r="Y48" t="inlineStr">
        <is>
          <t>Y</t>
        </is>
      </c>
      <c r="Z48" t="inlineStr">
        <is>
          <t>OUT</t>
        </is>
      </c>
      <c r="AA48" t="inlineStr">
        <is>
          <t>CAR-T</t>
        </is>
      </c>
      <c r="AB48" t="inlineStr">
        <is>
          <t>https://api-evsrest.nci.nih.gov/api/v1/concept/ncit/C185607?include=summary — "A preparation of T-lymphocytes engineered to express a chimeric antigen receptor (CAR) specific for the tumor-associated antigen (TAA) Claudin18.2 (CLDN18.2; A2 isoform of claudin-18), with potential immunostimulating an"</t>
        </is>
      </c>
    </row>
    <row r="49">
      <c r="A49" t="inlineStr">
        <is>
          <t>CL-48</t>
        </is>
      </c>
      <c r="B49" t="inlineStr">
        <is>
          <t>TAC01-CLDN18.2</t>
        </is>
      </c>
      <c r="C49" t="inlineStr"/>
      <c r="D49" t="inlineStr">
        <is>
          <t>Claudin 18.2</t>
        </is>
      </c>
      <c r="E49" t="inlineStr"/>
      <c r="F49" t="inlineStr"/>
      <c r="G49" t="inlineStr">
        <is>
          <t>Oncology</t>
        </is>
      </c>
      <c r="H49" t="inlineStr">
        <is>
          <t>Metastatic Solid Tumor</t>
        </is>
      </c>
      <c r="I49" t="inlineStr">
        <is>
          <t>Phase 2</t>
        </is>
      </c>
      <c r="J49" t="inlineStr">
        <is>
          <t>Active trial in registry</t>
        </is>
      </c>
      <c r="K49" t="inlineStr">
        <is>
          <t>2025-02-14</t>
        </is>
      </c>
      <c r="L49" t="inlineStr">
        <is>
          <t>Triumvira Immunologics, Inc.</t>
        </is>
      </c>
      <c r="M49" t="inlineStr">
        <is>
          <t>NCT05862324</t>
        </is>
      </c>
      <c r="N49" t="inlineStr"/>
      <c r="O49" t="inlineStr"/>
      <c r="P49" t="inlineStr"/>
      <c r="Q49" t="inlineStr"/>
      <c r="R49" t="inlineStr">
        <is>
          <t>https://clinicaltrials.gov/study/NCT05862324</t>
        </is>
      </c>
      <c r="S49" t="inlineStr">
        <is>
          <t>2026-10-29</t>
        </is>
      </c>
      <c r="T49" t="inlineStr"/>
      <c r="U49" t="inlineStr"/>
      <c r="V49" t="inlineStr">
        <is>
          <t>Y</t>
        </is>
      </c>
      <c r="W49" t="inlineStr">
        <is>
          <t>N</t>
        </is>
      </c>
      <c r="X49" t="inlineStr">
        <is>
          <t>Y</t>
        </is>
      </c>
      <c r="Y49" t="inlineStr">
        <is>
          <t>Y</t>
        </is>
      </c>
      <c r="Z49" t="inlineStr">
        <is>
          <t>OUT</t>
        </is>
      </c>
      <c r="AA49" t="inlineStr">
        <is>
          <t>TAC T-cell therapy (cell therapy)</t>
        </is>
      </c>
      <c r="AB49" t="inlineStr">
        <is>
          <t>https://api-evsrest.nci.nih.gov/api/v1/concept/ncit/C201811?include=summary — "A preparation of autologous T-lymphocytes that have been genetically engineered to express a T-cell Antigen Coupler (TAC), comprised of a domain that targets the tumor-associated antigen (TAA) claudin 18.2 (CLDN18.2; A2"</t>
        </is>
      </c>
    </row>
    <row r="50">
      <c r="A50" t="inlineStr">
        <is>
          <t>CL-49</t>
        </is>
      </c>
      <c r="B50" t="inlineStr">
        <is>
          <t>IMC002</t>
        </is>
      </c>
      <c r="C50" t="inlineStr">
        <is>
          <t>IMC002</t>
        </is>
      </c>
      <c r="D50" t="inlineStr">
        <is>
          <t>Claudin 18.2</t>
        </is>
      </c>
      <c r="E50" t="inlineStr"/>
      <c r="F50" t="inlineStr">
        <is>
          <t>CAR-T</t>
        </is>
      </c>
      <c r="G50" t="inlineStr">
        <is>
          <t>Oncology</t>
        </is>
      </c>
      <c r="H50" t="inlineStr">
        <is>
          <t>Advanced Digestive System Tumor; Gastric Cancer; Pancreatic Cancer; Advanced Ovarian Carcinoma; Gastroesophageal Junction Adenocarcinoma</t>
        </is>
      </c>
      <c r="I50" t="inlineStr">
        <is>
          <t>Phase 1</t>
        </is>
      </c>
      <c r="J50" t="inlineStr">
        <is>
          <t>Registry: no active trial (UNKNOWN)</t>
        </is>
      </c>
      <c r="K50" t="inlineStr">
        <is>
          <t>2024-03-06</t>
        </is>
      </c>
      <c r="L50" t="inlineStr">
        <is>
          <t>Suzhou Immunofoco Biotechnology Co., Ltd</t>
        </is>
      </c>
      <c r="M50" t="inlineStr">
        <is>
          <t>NCT05946226; NCT05472857</t>
        </is>
      </c>
      <c r="N50" t="inlineStr"/>
      <c r="O50" t="inlineStr"/>
      <c r="P50" t="inlineStr"/>
      <c r="Q50" t="inlineStr">
        <is>
          <t>Changhai Hospital</t>
        </is>
      </c>
      <c r="R50" t="inlineStr">
        <is>
          <t>https://clinicaltrials.gov/study/NCT05946226; https://clinicaltrials.gov/study/NCT05472857</t>
        </is>
      </c>
      <c r="S50" t="inlineStr">
        <is>
          <t>2026-10-29</t>
        </is>
      </c>
      <c r="T50" t="inlineStr"/>
      <c r="U50" t="inlineStr"/>
      <c r="V50" t="inlineStr">
        <is>
          <t>Y</t>
        </is>
      </c>
      <c r="W50" t="inlineStr">
        <is>
          <t>N</t>
        </is>
      </c>
      <c r="X50" t="inlineStr">
        <is>
          <t>Y</t>
        </is>
      </c>
      <c r="Y50" t="inlineStr">
        <is>
          <t>Y</t>
        </is>
      </c>
      <c r="Z50" t="inlineStr">
        <is>
          <t>OUT</t>
        </is>
      </c>
      <c r="AA50" t="inlineStr">
        <is>
          <t>CAR-T</t>
        </is>
      </c>
      <c r="AB50" t="inlineStr">
        <is>
          <t>landscape cell</t>
        </is>
      </c>
    </row>
    <row r="51">
      <c r="A51" t="inlineStr">
        <is>
          <t>CL-50</t>
        </is>
      </c>
      <c r="B51" t="inlineStr">
        <is>
          <t>LM-102</t>
        </is>
      </c>
      <c r="C51" t="inlineStr"/>
      <c r="D51" t="inlineStr">
        <is>
          <t>Claudin 18.2</t>
        </is>
      </c>
      <c r="E51" t="inlineStr"/>
      <c r="F51" t="inlineStr">
        <is>
          <t>Monoclonal antibody</t>
        </is>
      </c>
      <c r="G51" t="inlineStr">
        <is>
          <t>Oncology</t>
        </is>
      </c>
      <c r="H51" t="inlineStr">
        <is>
          <t>Advanced Solid Tumors; Advanced Solid Tumor</t>
        </is>
      </c>
      <c r="I51" t="inlineStr">
        <is>
          <t>Phase 2</t>
        </is>
      </c>
      <c r="J51" t="inlineStr">
        <is>
          <t>All registered trials terminated or withdrawn</t>
        </is>
      </c>
      <c r="K51" t="inlineStr">
        <is>
          <t>2023-03-09</t>
        </is>
      </c>
      <c r="L51" t="inlineStr">
        <is>
          <t>LaNova Medicines Development Co., Ltd.</t>
        </is>
      </c>
      <c r="M51" t="inlineStr">
        <is>
          <t>NCT04735796; NCT05008445</t>
        </is>
      </c>
      <c r="N51" t="inlineStr"/>
      <c r="O51" t="inlineStr"/>
      <c r="P51" t="inlineStr"/>
      <c r="Q51" t="inlineStr">
        <is>
          <t>First Affiliated Hospital of Harbin Medical University; First Affiliated Hospital of Zhejiang University; Shanghai Zhongshan Hospital; Sir Run Run Shaw Hospital</t>
        </is>
      </c>
      <c r="R51" t="inlineStr">
        <is>
          <t>https://clinicaltrials.gov/study/NCT04735796; https://clinicaltrials.gov/study/NCT05008445</t>
        </is>
      </c>
      <c r="S51" t="inlineStr">
        <is>
          <t>2026-10-29</t>
        </is>
      </c>
      <c r="T51" t="inlineStr"/>
      <c r="U51" t="inlineStr"/>
      <c r="V51" t="inlineStr">
        <is>
          <t>Y</t>
        </is>
      </c>
      <c r="W51" t="inlineStr">
        <is>
          <t>N</t>
        </is>
      </c>
      <c r="X51" t="inlineStr">
        <is>
          <t>Y</t>
        </is>
      </c>
      <c r="Y51" t="inlineStr">
        <is>
          <t>Y</t>
        </is>
      </c>
      <c r="Z51" t="inlineStr">
        <is>
          <t>OUT</t>
        </is>
      </c>
      <c r="AA51" t="inlineStr">
        <is>
          <t>Naked mAb</t>
        </is>
      </c>
      <c r="AB51" t="inlineStr">
        <is>
          <t>https://api-evsrest.nci.nih.gov/api/v1/concept/ncit/C183147?include=summary — "A recombinant humanized monoclonal antibody directed against the tumor-associated antigen (TAA) claudin18.2 (CLDN18.2; A2 isoform of claudin-18), with potential immunostimulating and antineoplastic activities."</t>
        </is>
      </c>
    </row>
    <row r="52">
      <c r="A52" t="inlineStr">
        <is>
          <t>CL-51</t>
        </is>
      </c>
      <c r="B52" t="inlineStr">
        <is>
          <t>AK132</t>
        </is>
      </c>
      <c r="C52" t="inlineStr"/>
      <c r="D52" t="inlineStr">
        <is>
          <t>Claudin 18.2; CD47</t>
        </is>
      </c>
      <c r="E52" t="inlineStr"/>
      <c r="F52" t="inlineStr">
        <is>
          <t>Bispecific antibody</t>
        </is>
      </c>
      <c r="G52" t="inlineStr">
        <is>
          <t>Oncology</t>
        </is>
      </c>
      <c r="H52" t="inlineStr">
        <is>
          <t>Advanced Malignant Solid Tumor</t>
        </is>
      </c>
      <c r="I52" t="inlineStr">
        <is>
          <t>Phase 1</t>
        </is>
      </c>
      <c r="J52" t="inlineStr">
        <is>
          <t>Registry: no active trial (UNKNOWN)</t>
        </is>
      </c>
      <c r="K52" t="inlineStr">
        <is>
          <t>2023-12-12</t>
        </is>
      </c>
      <c r="L52" t="inlineStr">
        <is>
          <t>Akeso</t>
        </is>
      </c>
      <c r="M52" t="inlineStr">
        <is>
          <t>NCT06166472</t>
        </is>
      </c>
      <c r="N52" t="inlineStr"/>
      <c r="O52" t="inlineStr"/>
      <c r="P52" t="inlineStr"/>
      <c r="Q52" t="inlineStr"/>
      <c r="R52" t="inlineStr">
        <is>
          <t>https://clinicaltrials.gov/study/NCT06166472</t>
        </is>
      </c>
      <c r="S52" t="inlineStr">
        <is>
          <t>2026-10-29</t>
        </is>
      </c>
      <c r="T52" t="inlineStr"/>
      <c r="U52" t="inlineStr"/>
      <c r="V52" t="inlineStr">
        <is>
          <t>Y</t>
        </is>
      </c>
      <c r="W52" t="inlineStr">
        <is>
          <t>Y</t>
        </is>
      </c>
      <c r="X52" t="inlineStr">
        <is>
          <t>?</t>
        </is>
      </c>
      <c r="Y52" t="inlineStr">
        <is>
          <t>Y</t>
        </is>
      </c>
      <c r="Z52" t="inlineStr">
        <is>
          <t>IN</t>
        </is>
      </c>
      <c r="AA52" t="inlineStr">
        <is>
          <t>CLDN18.2xCD47 bispecific, Phase 1 solid tumours; status unknown</t>
        </is>
      </c>
      <c r="AB52" t="inlineStr">
        <is>
          <t>https://api-evsrest.nci.nih.gov/api/v1/concept/ncit/C204802?include=summary — "A bispecific antibody directed against both the tumor-associated antigen (TAA) Claudin18.2 (CLDN18.2; A2 isoform of claudin-18) and the human cell surface antigen CD47, with potential immunostimulating, phagocytosis-indu"</t>
        </is>
      </c>
    </row>
    <row r="53">
      <c r="A53" t="inlineStr">
        <is>
          <t>CL-52</t>
        </is>
      </c>
      <c r="B53" t="inlineStr">
        <is>
          <t>177Lu-DOTA-SNA040</t>
        </is>
      </c>
      <c r="C53" t="inlineStr"/>
      <c r="D53" t="inlineStr">
        <is>
          <t>Claudin 18.2</t>
        </is>
      </c>
      <c r="E53" t="inlineStr"/>
      <c r="F53" t="inlineStr">
        <is>
          <t>Radioligand</t>
        </is>
      </c>
      <c r="G53" t="inlineStr">
        <is>
          <t>Oncology</t>
        </is>
      </c>
      <c r="H53" t="inlineStr">
        <is>
          <t>Advanced Solid Tumors (Such as Gastric Cancer); Advanced Solid Tumors (Such as Adenocarcinoma at the Gastroesophageal Junction); Advanced Solid Tumors (Such as Pancreatic Cancer); Advanced Solid Tumors (Such as Cholangiocarcinoma)</t>
        </is>
      </c>
      <c r="I53" t="inlineStr">
        <is>
          <t>Phase 1</t>
        </is>
      </c>
      <c r="J53" t="inlineStr">
        <is>
          <t>Active trial in registry</t>
        </is>
      </c>
      <c r="K53" t="inlineStr">
        <is>
          <t>2026-08-21</t>
        </is>
      </c>
      <c r="L53" t="inlineStr">
        <is>
          <t>SmartNuclide Biopharma</t>
        </is>
      </c>
      <c r="M53" t="inlineStr">
        <is>
          <t>NCT07595237</t>
        </is>
      </c>
      <c r="N53" t="inlineStr"/>
      <c r="O53" t="inlineStr"/>
      <c r="P53" t="inlineStr"/>
      <c r="Q53" t="inlineStr"/>
      <c r="R53" t="inlineStr">
        <is>
          <t>https://clinicaltrials.gov/study/NCT07595237</t>
        </is>
      </c>
      <c r="S53" t="inlineStr">
        <is>
          <t>2026-10-29</t>
        </is>
      </c>
      <c r="T53" t="inlineStr"/>
      <c r="U53" t="inlineStr"/>
      <c r="V53" t="inlineStr">
        <is>
          <t>Y</t>
        </is>
      </c>
      <c r="W53" t="inlineStr">
        <is>
          <t>N</t>
        </is>
      </c>
      <c r="X53" t="inlineStr">
        <is>
          <t>Y</t>
        </is>
      </c>
      <c r="Y53" t="inlineStr">
        <is>
          <t>Y</t>
        </is>
      </c>
      <c r="Z53" t="inlineStr">
        <is>
          <t>OUT</t>
        </is>
      </c>
      <c r="AA53" t="inlineStr">
        <is>
          <t>Radioligand - not in buyer modality scope</t>
        </is>
      </c>
      <c r="AB53" t="inlineStr">
        <is>
          <t>https://clinicaltrials.gov/api/v2/studies?query.term=177Lu-DOTA-SNA040&amp;fields=NCTId,BriefTitle,OfficialTitle,LeadSponsorName,OverallStatus,InterventionName,InterventionDescription&amp;pageSize=3 — "A Clinical Study Evaluating the Safety, Tolerability, Biodistribution, Dose Determination, and Preliminary Efficacy of ¹⁷⁷Lu-DOTA-SNA040 in Patients With Claudin 18.2-positive Advanced Solid Tumors"</t>
        </is>
      </c>
    </row>
    <row r="54">
      <c r="A54" t="inlineStr">
        <is>
          <t>CL-53</t>
        </is>
      </c>
      <c r="B54" t="inlineStr">
        <is>
          <t>Bio-008</t>
        </is>
      </c>
      <c r="C54" t="inlineStr"/>
      <c r="D54" t="inlineStr"/>
      <c r="E54" t="inlineStr"/>
      <c r="F54" t="inlineStr"/>
      <c r="G54" t="inlineStr">
        <is>
          <t>Oncology</t>
        </is>
      </c>
      <c r="H54" t="inlineStr">
        <is>
          <t>Solid Tumor, Adult</t>
        </is>
      </c>
      <c r="I54" t="inlineStr">
        <is>
          <t>Phase 1</t>
        </is>
      </c>
      <c r="J54" t="inlineStr">
        <is>
          <t>Registry: no active trial (UNKNOWN)</t>
        </is>
      </c>
      <c r="K54" t="inlineStr">
        <is>
          <t>2023-09-07</t>
        </is>
      </c>
      <c r="L54" t="inlineStr">
        <is>
          <t>Shijiazhuang Yiling Pharmaceutical Co. Ltd</t>
        </is>
      </c>
      <c r="M54" t="inlineStr">
        <is>
          <t>NCT06027346</t>
        </is>
      </c>
      <c r="N54" t="inlineStr"/>
      <c r="O54" t="inlineStr"/>
      <c r="P54" t="inlineStr"/>
      <c r="Q54" t="inlineStr"/>
      <c r="R54" t="inlineStr">
        <is>
          <t>https://clinicaltrials.gov/study/NCT06027346</t>
        </is>
      </c>
      <c r="S54" t="inlineStr">
        <is>
          <t>2026-10-29</t>
        </is>
      </c>
      <c r="T54" t="inlineStr"/>
      <c r="U54" t="inlineStr"/>
      <c r="V54" t="inlineStr">
        <is>
          <t>?</t>
        </is>
      </c>
      <c r="W54" t="inlineStr">
        <is>
          <t>?</t>
        </is>
      </c>
      <c r="X54" t="inlineStr">
        <is>
          <t>Y</t>
        </is>
      </c>
      <c r="Y54" t="inlineStr">
        <is>
          <t>Y</t>
        </is>
      </c>
      <c r="Z54" t="inlineStr">
        <is>
          <t>UNRESOLVED</t>
        </is>
      </c>
      <c r="AA54" t="inlineStr">
        <is>
          <t>No target/modality information; curator found no evidence</t>
        </is>
      </c>
      <c r="AB54" t="inlineStr">
        <is>
          <t>landscape cell</t>
        </is>
      </c>
    </row>
    <row r="55">
      <c r="A55" t="inlineStr">
        <is>
          <t>CL-54</t>
        </is>
      </c>
      <c r="B55" t="inlineStr">
        <is>
          <t>SPX-101</t>
        </is>
      </c>
      <c r="C55" t="inlineStr"/>
      <c r="D55" t="inlineStr">
        <is>
          <t>Claudin 18.2</t>
        </is>
      </c>
      <c r="E55" t="inlineStr"/>
      <c r="F55" t="inlineStr">
        <is>
          <t>Monoclonal antibody</t>
        </is>
      </c>
      <c r="G55" t="inlineStr">
        <is>
          <t>Oncology</t>
        </is>
      </c>
      <c r="H55" t="inlineStr">
        <is>
          <t>Solid Tumors</t>
        </is>
      </c>
      <c r="I55" t="inlineStr">
        <is>
          <t>Phase 1</t>
        </is>
      </c>
      <c r="J55" t="inlineStr">
        <is>
          <t>All registered trials terminated or withdrawn</t>
        </is>
      </c>
      <c r="K55" t="inlineStr">
        <is>
          <t>2024-10-31</t>
        </is>
      </c>
      <c r="L55" t="inlineStr">
        <is>
          <t>SparX Biotech(Jiangsu) Co., Ltd.</t>
        </is>
      </c>
      <c r="M55" t="inlineStr">
        <is>
          <t>NCT05231733</t>
        </is>
      </c>
      <c r="N55" t="inlineStr"/>
      <c r="O55" t="inlineStr"/>
      <c r="P55" t="inlineStr"/>
      <c r="Q55" t="inlineStr"/>
      <c r="R55" t="inlineStr">
        <is>
          <t>https://clinicaltrials.gov/study/NCT05231733</t>
        </is>
      </c>
      <c r="S55" t="inlineStr">
        <is>
          <t>2026-10-29</t>
        </is>
      </c>
      <c r="T55" t="inlineStr"/>
      <c r="U55" t="inlineStr"/>
      <c r="V55" t="inlineStr">
        <is>
          <t>Y</t>
        </is>
      </c>
      <c r="W55" t="inlineStr">
        <is>
          <t>N</t>
        </is>
      </c>
      <c r="X55" t="inlineStr">
        <is>
          <t>Y</t>
        </is>
      </c>
      <c r="Y55" t="inlineStr">
        <is>
          <t>Y</t>
        </is>
      </c>
      <c r="Z55" t="inlineStr">
        <is>
          <t>OUT</t>
        </is>
      </c>
      <c r="AA55" t="inlineStr">
        <is>
          <t>Naked mAb</t>
        </is>
      </c>
      <c r="AB55" t="inlineStr">
        <is>
          <t>https://api-evsrest.nci.nih.gov/api/v1/concept/ncit/C189018?include=summary — "A humanized monoclonal antibody directed against the tumor-associated antigen (TAA) Claudin18.2 (CLDN18.2; A2 isoform of claudin-18), with potential immunostimulating and antineoplastic activities."</t>
        </is>
      </c>
    </row>
    <row r="56">
      <c r="A56" t="inlineStr">
        <is>
          <t>CL-55</t>
        </is>
      </c>
      <c r="B56" t="inlineStr">
        <is>
          <t>DA-3501</t>
        </is>
      </c>
      <c r="C56" t="inlineStr"/>
      <c r="D56" t="inlineStr">
        <is>
          <t>Claudin 18.2</t>
        </is>
      </c>
      <c r="E56" t="inlineStr"/>
      <c r="F56" t="inlineStr">
        <is>
          <t>Antibody-drug conjugate</t>
        </is>
      </c>
      <c r="G56" t="inlineStr">
        <is>
          <t>Oncology</t>
        </is>
      </c>
      <c r="H56" t="inlineStr">
        <is>
          <t>Gastric (Stomach) Cancer; GastroEsophageal Cancer; Pancreatic Ductal Adenocarcinoma (mPDAC)</t>
        </is>
      </c>
      <c r="I56" t="inlineStr">
        <is>
          <t>Phase 1</t>
        </is>
      </c>
      <c r="J56" t="inlineStr">
        <is>
          <t>Active trial in registry</t>
        </is>
      </c>
      <c r="K56" t="inlineStr">
        <is>
          <t>2026-05-20</t>
        </is>
      </c>
      <c r="L56" t="inlineStr">
        <is>
          <t>Dong-A ST Co., Ltd.</t>
        </is>
      </c>
      <c r="M56" t="inlineStr">
        <is>
          <t>NCT07481357</t>
        </is>
      </c>
      <c r="N56" t="inlineStr"/>
      <c r="O56" t="inlineStr"/>
      <c r="P56" t="inlineStr"/>
      <c r="Q56" t="inlineStr"/>
      <c r="R56" t="inlineStr">
        <is>
          <t>https://clinicaltrials.gov/study/NCT07481357</t>
        </is>
      </c>
      <c r="S56" t="inlineStr">
        <is>
          <t>2026-10-29</t>
        </is>
      </c>
      <c r="T56" t="inlineStr"/>
      <c r="U56" t="inlineStr"/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>
        <is>
          <t>Y</t>
        </is>
      </c>
      <c r="Z56" t="inlineStr">
        <is>
          <t>IN</t>
        </is>
      </c>
      <c r="AA56" t="inlineStr">
        <is>
          <t>CLDN18.2 ADC; Phase 1 gastric/GEJ</t>
        </is>
      </c>
      <c r="AB56" t="inlineStr">
        <is>
          <t>https://www.asiae.co.kr/en/article/2025062415383793065 — "'DA-3501' is an ADC candidate that targets 'Claudin 18.2', a protein exposed during the carcinogenesis of gastric mucosal cells."</t>
        </is>
      </c>
    </row>
    <row r="57">
      <c r="A57" t="inlineStr">
        <is>
          <t>CL-56</t>
        </is>
      </c>
      <c r="B57" t="inlineStr">
        <is>
          <t>EB-DNK102 (CLDN18.2/MUC1 CAR-NK)</t>
        </is>
      </c>
      <c r="C57" t="inlineStr"/>
      <c r="D57" t="inlineStr">
        <is>
          <t>Claudin 18.2; MUC1</t>
        </is>
      </c>
      <c r="E57" t="inlineStr"/>
      <c r="F57" t="inlineStr">
        <is>
          <t>CAR-NK</t>
        </is>
      </c>
      <c r="G57" t="inlineStr">
        <is>
          <t>Oncology</t>
        </is>
      </c>
      <c r="H57" t="inlineStr">
        <is>
          <t>Pancreatic Ductal Adenocarcinoma (PDAC); Unresectable Locally Advanced; Metastatic Disease; Unresectable Locally Advanced or Metastatic Disease</t>
        </is>
      </c>
      <c r="I57" t="inlineStr">
        <is>
          <t>Phase 2</t>
        </is>
      </c>
      <c r="J57" t="inlineStr">
        <is>
          <t>Active trial in registry</t>
        </is>
      </c>
      <c r="K57" t="inlineStr">
        <is>
          <t>2026-06-04</t>
        </is>
      </c>
      <c r="L57" t="inlineStr">
        <is>
          <t>Beijing Biotech</t>
        </is>
      </c>
      <c r="M57" t="inlineStr">
        <is>
          <t>NCT07627711; NCT07480928</t>
        </is>
      </c>
      <c r="N57" t="inlineStr"/>
      <c r="O57" t="inlineStr"/>
      <c r="P57" t="inlineStr"/>
      <c r="Q57" t="inlineStr"/>
      <c r="R57" t="inlineStr">
        <is>
          <t>https://clinicaltrials.gov/study/NCT07627711; https://clinicaltrials.gov/study/NCT07480928</t>
        </is>
      </c>
      <c r="S57" t="inlineStr">
        <is>
          <t>2026-10-29</t>
        </is>
      </c>
      <c r="T57" t="inlineStr"/>
      <c r="U57" t="inlineStr"/>
      <c r="V57" t="inlineStr">
        <is>
          <t>Y</t>
        </is>
      </c>
      <c r="W57" t="inlineStr">
        <is>
          <t>N</t>
        </is>
      </c>
      <c r="X57" t="inlineStr">
        <is>
          <t>Y</t>
        </is>
      </c>
      <c r="Y57" t="inlineStr">
        <is>
          <t>Y</t>
        </is>
      </c>
      <c r="Z57" t="inlineStr">
        <is>
          <t>OUT</t>
        </is>
      </c>
      <c r="AA57" t="inlineStr">
        <is>
          <t>CAR-NK</t>
        </is>
      </c>
      <c r="AB57" t="inlineStr">
        <is>
          <t>https://clinicaltrials.gov/api/v2/studies?query.term=EB-DNK102&amp;fields=NCTId,BriefTitle,OfficialTitle,LeadSponsorName,OverallStatus,InterventionName,InterventionDescription&amp;pageSize=3 — "Allogeneic CAR-NK cells engineered with a dual-recognition CAR targeting CLDN18.2 and MUC1."</t>
        </is>
      </c>
    </row>
    <row r="58">
      <c r="A58" t="inlineStr">
        <is>
          <t>CL-57</t>
        </is>
      </c>
      <c r="B58" t="inlineStr">
        <is>
          <t>Rilvegostomig (AZD2936)</t>
        </is>
      </c>
      <c r="C58" t="inlineStr">
        <is>
          <t>Rilvegostomig; AZD2936</t>
        </is>
      </c>
      <c r="D58" t="inlineStr">
        <is>
          <t>PD-1; TIGIT</t>
        </is>
      </c>
      <c r="E58" t="inlineStr"/>
      <c r="F58" t="inlineStr">
        <is>
          <t>Bispecific antibody</t>
        </is>
      </c>
      <c r="G58" t="inlineStr">
        <is>
          <t>Oncology</t>
        </is>
      </c>
      <c r="H58" t="inlineStr">
        <is>
          <t>Gastric Cancer; Gastro-esophageal Junction Cancer; Pancreatic Ductal Adenocarcinoma; Esophageal Adenocarcinoma; Gastroesophageal Junction Adenocarcinoma; Esophageal Cancer</t>
        </is>
      </c>
      <c r="I58" t="inlineStr">
        <is>
          <t>Phase 3</t>
        </is>
      </c>
      <c r="J58" t="inlineStr">
        <is>
          <t>Active trial in registry</t>
        </is>
      </c>
      <c r="K58" t="inlineStr">
        <is>
          <t>2026-10-16</t>
        </is>
      </c>
      <c r="L58" t="inlineStr">
        <is>
          <t>AstraZeneca</t>
        </is>
      </c>
      <c r="M58" t="inlineStr">
        <is>
          <t>NCT06005493; NCT07431281; NCT05702229</t>
        </is>
      </c>
      <c r="N58" t="inlineStr"/>
      <c r="O58" t="inlineStr"/>
      <c r="P58" t="inlineStr"/>
      <c r="Q58" t="inlineStr"/>
      <c r="R58" t="inlineStr">
        <is>
          <t>https://clinicaltrials.gov/study/NCT06005493; https://clinicaltrials.gov/study/NCT07431281; https://clinicaltrials.gov/study/NCT05702229</t>
        </is>
      </c>
      <c r="S58" t="inlineStr">
        <is>
          <t>2026-10-29</t>
        </is>
      </c>
      <c r="T58" t="inlineStr"/>
      <c r="U58" t="inlineStr"/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Y</t>
        </is>
      </c>
      <c r="Z58" t="inlineStr">
        <is>
          <t>OUT</t>
        </is>
      </c>
      <c r="AA58" t="inlineStr">
        <is>
          <t>PD-1/TIGIT - not CLDN18.2 (noise)</t>
        </is>
      </c>
      <c r="AB58" t="inlineStr">
        <is>
          <t>https://api-evsrest.nci.nih.gov/api/v1/concept/ncit/C188211?include=summary — "A bispecific antibody directed against the negative immunoregulatory human cell receptor programmed cell death protein 1 (PD-1; PDCD1; CD279) and the co-inhibitory molecule and immune checkpoint inhibitor T-cell immunore"</t>
        </is>
      </c>
    </row>
    <row r="59">
      <c r="A59" t="inlineStr">
        <is>
          <t>CL-58</t>
        </is>
      </c>
      <c r="B59" t="inlineStr">
        <is>
          <t>Zanidatamab</t>
        </is>
      </c>
      <c r="C59" t="inlineStr"/>
      <c r="D59" t="inlineStr">
        <is>
          <t>HER2</t>
        </is>
      </c>
      <c r="E59" t="inlineStr"/>
      <c r="F59" t="inlineStr">
        <is>
          <t>Bispecific antibody</t>
        </is>
      </c>
      <c r="G59" t="inlineStr">
        <is>
          <t>Oncology</t>
        </is>
      </c>
      <c r="H59" t="inlineStr">
        <is>
          <t>Gastroesophageal Adenocarcinoma</t>
        </is>
      </c>
      <c r="I59" t="inlineStr">
        <is>
          <t>Phase 2</t>
        </is>
      </c>
      <c r="J59" t="inlineStr">
        <is>
          <t>Active trial in registry</t>
        </is>
      </c>
      <c r="K59" t="inlineStr">
        <is>
          <t>2026-10-05</t>
        </is>
      </c>
      <c r="L59" t="inlineStr">
        <is>
          <t>American Association for Cancer Research</t>
        </is>
      </c>
      <c r="M59" t="inlineStr">
        <is>
          <t>NCT07290985</t>
        </is>
      </c>
      <c r="N59" t="inlineStr"/>
      <c r="O59" t="inlineStr"/>
      <c r="P59" t="inlineStr"/>
      <c r="Q59" t="inlineStr">
        <is>
          <t>Astellas Pharma Inc; BeOne Medicines; Jazz Pharmaceuticals; Natera, Inc.; Roche Diagnostics GmbH</t>
        </is>
      </c>
      <c r="R59" t="inlineStr">
        <is>
          <t>https://clinicaltrials.gov/study/NCT07290985</t>
        </is>
      </c>
      <c r="S59" t="inlineStr">
        <is>
          <t>2026-10-29</t>
        </is>
      </c>
      <c r="T59" t="inlineStr"/>
      <c r="U59" t="inlineStr"/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>
        <is>
          <t>Y</t>
        </is>
      </c>
      <c r="Z59" t="inlineStr">
        <is>
          <t>OUT</t>
        </is>
      </c>
      <c r="AA59" t="inlineStr">
        <is>
          <t>HER2 - not CLDN18.2 (noise)</t>
        </is>
      </c>
      <c r="AB59" t="inlineStr">
        <is>
          <t>https://api-evsrest.nci.nih.gov/api/v1/concept/ncit/C130010?include=summary — "An engineered immunoglobulin G1 (IgG1) bi-specific monoclonal antibody that targets two different non-overlapping epitopes of the human tumor-associated antigen (TAA) epidermal growth factor receptor 2 (HER2), ECD2 and E"</t>
        </is>
      </c>
    </row>
    <row r="60">
      <c r="A60" t="inlineStr">
        <is>
          <t>CL-59</t>
        </is>
      </c>
      <c r="B60" t="inlineStr">
        <is>
          <t>Volrustomig</t>
        </is>
      </c>
      <c r="C60" t="inlineStr"/>
      <c r="D60" t="inlineStr">
        <is>
          <t>PD-1; CTLA-4</t>
        </is>
      </c>
      <c r="E60" t="inlineStr"/>
      <c r="F60" t="inlineStr">
        <is>
          <t>Bispecific antibody</t>
        </is>
      </c>
      <c r="G60" t="inlineStr">
        <is>
          <t>Oncology</t>
        </is>
      </c>
      <c r="H60" t="inlineStr">
        <is>
          <t>Gastric Cancer</t>
        </is>
      </c>
      <c r="I60" t="inlineStr">
        <is>
          <t>Phase 2</t>
        </is>
      </c>
      <c r="J60" t="inlineStr">
        <is>
          <t>Active trial in registry</t>
        </is>
      </c>
      <c r="K60" t="inlineStr">
        <is>
          <t>2026-05-14</t>
        </is>
      </c>
      <c r="L60" t="inlineStr">
        <is>
          <t>AstraZeneca</t>
        </is>
      </c>
      <c r="M60" t="inlineStr">
        <is>
          <t>NCT05702229</t>
        </is>
      </c>
      <c r="N60" t="inlineStr"/>
      <c r="O60" t="inlineStr"/>
      <c r="P60" t="inlineStr"/>
      <c r="Q60" t="inlineStr"/>
      <c r="R60" t="inlineStr">
        <is>
          <t>https://clinicaltrials.gov/study/NCT05702229</t>
        </is>
      </c>
      <c r="S60" t="inlineStr">
        <is>
          <t>2026-10-29</t>
        </is>
      </c>
      <c r="T60" t="inlineStr"/>
      <c r="U60" t="inlineStr"/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Y</t>
        </is>
      </c>
      <c r="Z60" t="inlineStr">
        <is>
          <t>OUT</t>
        </is>
      </c>
      <c r="AA60" t="inlineStr">
        <is>
          <t>PD-1/CTLA-4 - not CLDN18.2 (noise)</t>
        </is>
      </c>
      <c r="AB60" t="inlineStr">
        <is>
          <t>https://api-evsrest.nci.nih.gov/api/v1/concept/ncit/C171937?include=summary — "An engineered fragment crystallizable (Fc) domain bispecific human immunoglobulin G1 (IgG1) monoclonal antibody directed against the human negative immunoregulatory checkpoint receptors programmed cell death protein 1 (P"</t>
        </is>
      </c>
    </row>
    <row r="61">
      <c r="A61" t="inlineStr">
        <is>
          <t>CL-60</t>
        </is>
      </c>
      <c r="B61" t="inlineStr">
        <is>
          <t>QL1706</t>
        </is>
      </c>
      <c r="C61" t="inlineStr"/>
      <c r="D61" t="inlineStr">
        <is>
          <t>PD-1; CTLA-4</t>
        </is>
      </c>
      <c r="E61" t="inlineStr"/>
      <c r="F61" t="inlineStr">
        <is>
          <t>Monoclonal antibody</t>
        </is>
      </c>
      <c r="G61" t="inlineStr">
        <is>
          <t>Oncology</t>
        </is>
      </c>
      <c r="H61" t="inlineStr">
        <is>
          <t>Advanced Solid Tumor</t>
        </is>
      </c>
      <c r="I61" t="inlineStr">
        <is>
          <t>Phase 2</t>
        </is>
      </c>
      <c r="J61" t="inlineStr">
        <is>
          <t>Active trial in registry</t>
        </is>
      </c>
      <c r="K61" t="inlineStr">
        <is>
          <t>2024-06-06</t>
        </is>
      </c>
      <c r="L61" t="inlineStr">
        <is>
          <t>Qilu Pharmaceutical Co., Ltd.</t>
        </is>
      </c>
      <c r="M61" t="inlineStr">
        <is>
          <t>NCT06446388</t>
        </is>
      </c>
      <c r="N61" t="inlineStr"/>
      <c r="O61" t="inlineStr"/>
      <c r="P61" t="inlineStr"/>
      <c r="Q61" t="inlineStr"/>
      <c r="R61" t="inlineStr">
        <is>
          <t>https://clinicaltrials.gov/study/NCT06446388</t>
        </is>
      </c>
      <c r="S61" t="inlineStr">
        <is>
          <t>2026-10-29</t>
        </is>
      </c>
      <c r="T61" t="inlineStr"/>
      <c r="U61" t="inlineStr"/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>
        <is>
          <t>Y</t>
        </is>
      </c>
      <c r="Z61" t="inlineStr">
        <is>
          <t>OUT</t>
        </is>
      </c>
      <c r="AA61" t="inlineStr">
        <is>
          <t>PD-1/CTLA-4 - not CLDN18.2 (noise)</t>
        </is>
      </c>
      <c r="AB61" t="inlineStr">
        <is>
          <t>https://api-evsrest.nci.nih.gov/api/v1/concept/ncit/C162774?include=summary — "A mixture of the two engineered monoclonal antibodies iparomlimab, which is an immunoglobulin G4 (IgG4) monoclonal antibody directed against the human negative immunoregulatory checkpoint receptor programmed cell death p"</t>
        </is>
      </c>
    </row>
    <row r="62">
      <c r="A62" t="inlineStr">
        <is>
          <t>CL-61</t>
        </is>
      </c>
      <c r="B62" t="inlineStr">
        <is>
          <t>89Zr-NY005</t>
        </is>
      </c>
      <c r="C62" t="inlineStr"/>
      <c r="D62" t="inlineStr">
        <is>
          <t>Claudin 18.2</t>
        </is>
      </c>
      <c r="E62" t="inlineStr"/>
      <c r="F62" t="inlineStr">
        <is>
          <t>Imaging agent</t>
        </is>
      </c>
      <c r="G62" t="inlineStr">
        <is>
          <t>Oncology</t>
        </is>
      </c>
      <c r="H62" t="inlineStr">
        <is>
          <t>Solid Tumor, Adult</t>
        </is>
      </c>
      <c r="I62" t="inlineStr"/>
      <c r="J62" t="inlineStr">
        <is>
          <t>Registry: no active trial (UNKNOWN)</t>
        </is>
      </c>
      <c r="K62" t="inlineStr">
        <is>
          <t>2021-08-04</t>
        </is>
      </c>
      <c r="L62" t="inlineStr">
        <is>
          <t>Wuxi No. 4 People's Hospital</t>
        </is>
      </c>
      <c r="M62" t="inlineStr">
        <is>
          <t>NCT04989010</t>
        </is>
      </c>
      <c r="N62" t="inlineStr"/>
      <c r="O62" t="inlineStr"/>
      <c r="P62" t="inlineStr"/>
      <c r="Q62" t="inlineStr"/>
      <c r="R62" t="inlineStr">
        <is>
          <t>https://clinicaltrials.gov/study/NCT04989010</t>
        </is>
      </c>
      <c r="S62" t="inlineStr">
        <is>
          <t>2026-10-29</t>
        </is>
      </c>
      <c r="T62" t="inlineStr"/>
      <c r="U62" t="inlineStr"/>
      <c r="V62" t="inlineStr">
        <is>
          <t>Y</t>
        </is>
      </c>
      <c r="W62" t="inlineStr">
        <is>
          <t>N</t>
        </is>
      </c>
      <c r="X62" t="inlineStr">
        <is>
          <t>Y</t>
        </is>
      </c>
      <c r="Y62" t="inlineStr">
        <is>
          <t>Y</t>
        </is>
      </c>
      <c r="Z62" t="inlineStr">
        <is>
          <t>OUT</t>
        </is>
      </c>
      <c r="AA62" t="inlineStr">
        <is>
          <t>Imaging agent</t>
        </is>
      </c>
      <c r="AB62" t="inlineStr">
        <is>
          <t>https://clinicaltrials.gov/api/v2/studies?query.term=89Zr-NY005&amp;fields=NCTId,BriefTitle,OfficialTitle,LeadSponsorName,OverallStatus,InterventionName,InterventionDescription&amp;pageSize=3 — "Safety Study of 89Zr-Anti-CLDN18.2 mAbs PET-CT Imaging in Patients With CLDN18.2 Positive Solid Tumors"</t>
        </is>
      </c>
    </row>
    <row r="63">
      <c r="A63" t="inlineStr">
        <is>
          <t>CL-62</t>
        </is>
      </c>
      <c r="B63" t="inlineStr">
        <is>
          <t>[18F]F-RESCA-3A12</t>
        </is>
      </c>
      <c r="C63" t="inlineStr">
        <is>
          <t>[18F]F-3A12</t>
        </is>
      </c>
      <c r="D63" t="inlineStr">
        <is>
          <t>Claudin 18.2</t>
        </is>
      </c>
      <c r="E63" t="inlineStr"/>
      <c r="F63" t="inlineStr">
        <is>
          <t>Imaging agent</t>
        </is>
      </c>
      <c r="G63" t="inlineStr">
        <is>
          <t>Oncology</t>
        </is>
      </c>
      <c r="H63" t="inlineStr">
        <is>
          <t>Neoplasms Pancreatic; Positron Emission Tomography; Pancreatic Neoplasms; Igestive System Neoplasms</t>
        </is>
      </c>
      <c r="I63" t="inlineStr"/>
      <c r="J63" t="inlineStr">
        <is>
          <t>Active trial in registry</t>
        </is>
      </c>
      <c r="K63" t="inlineStr">
        <is>
          <t>2025-12-29</t>
        </is>
      </c>
      <c r="L63" t="inlineStr">
        <is>
          <t>RenJi Hospital</t>
        </is>
      </c>
      <c r="M63" t="inlineStr">
        <is>
          <t>NCT06602037; NCT06203613</t>
        </is>
      </c>
      <c r="N63" t="inlineStr"/>
      <c r="O63" t="inlineStr"/>
      <c r="P63" t="inlineStr"/>
      <c r="Q63" t="inlineStr"/>
      <c r="R63" t="inlineStr">
        <is>
          <t>https://clinicaltrials.gov/study/NCT06602037; https://clinicaltrials.gov/study/NCT06203613</t>
        </is>
      </c>
      <c r="S63" t="inlineStr">
        <is>
          <t>2026-10-29</t>
        </is>
      </c>
      <c r="T63" t="inlineStr"/>
      <c r="U63" t="inlineStr"/>
      <c r="V63" t="inlineStr">
        <is>
          <t>Y</t>
        </is>
      </c>
      <c r="W63" t="inlineStr">
        <is>
          <t>N</t>
        </is>
      </c>
      <c r="X63" t="inlineStr">
        <is>
          <t>Y</t>
        </is>
      </c>
      <c r="Y63" t="inlineStr">
        <is>
          <t>Y</t>
        </is>
      </c>
      <c r="Z63" t="inlineStr">
        <is>
          <t>OUT</t>
        </is>
      </c>
      <c r="AA63" t="inlineStr">
        <is>
          <t>Imaging agent</t>
        </is>
      </c>
      <c r="AB63" t="inlineStr">
        <is>
          <t>https://clinicaltrials.gov/api/v2/studies/NCT06203613 — "Clinical Study of CLDN18.2 PET/CT for Noninvasive Diagnosis of Gastric and Pancreatic Cancer"</t>
        </is>
      </c>
    </row>
  </sheetData>
  <autoFilter ref="A1:AB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</t>
        </is>
      </c>
      <c r="B1" t="inlineStr">
        <is>
          <t>Program</t>
        </is>
      </c>
      <c r="C1" t="inlineStr">
        <is>
          <t>Originator/company (landscape)</t>
        </is>
      </c>
      <c r="D1" t="inlineStr">
        <is>
          <t>Current U.S. rights holder</t>
        </is>
      </c>
      <c r="E1" t="inlineStr">
        <is>
          <t>Availability</t>
        </is>
      </c>
      <c r="F1" t="inlineStr">
        <is>
          <t>Marketing status</t>
        </is>
      </c>
      <c r="G1" t="inlineStr">
        <is>
          <t>Development status</t>
        </is>
      </c>
      <c r="H1" t="inlineStr">
        <is>
          <t>Evidence (URL + quote)</t>
        </is>
      </c>
    </row>
    <row r="2">
      <c r="A2" t="inlineStr">
        <is>
          <t>CL-03</t>
        </is>
      </c>
      <c r="B2" t="inlineStr">
        <is>
          <t>AZD0901</t>
        </is>
      </c>
      <c r="C2" t="inlineStr">
        <is>
          <t>AstraZeneca</t>
        </is>
      </c>
      <c r="D2" t="inlineStr">
        <is>
          <t>AstraZeneca (global exclusive licence from KYM)</t>
        </is>
      </c>
      <c r="E2" t="inlineStr">
        <is>
          <t>HELD_BY_OTHERS</t>
        </is>
      </c>
      <c r="F2" t="inlineStr">
        <is>
          <t>Not marketed</t>
        </is>
      </c>
      <c r="G2" t="inlineStr">
        <is>
          <t>Phase 3 (OS benefit CLARITY-Gastric01)</t>
        </is>
      </c>
      <c r="H2" t="inlineStr">
        <is>
          <t>https://www.astrazeneca.com/media-centre/press-releases/2023/astrazeneca-enters-license-agreement-with-kym-biosciences-for-cmg901-a-claudin-182-antibody-drug-conjugate.html — "AstraZeneca and KYM Biosciences Inc. i have entered into a global exclusive licence agreement for CMG901, a potential first-in-class antibody drug conjugate (ADC) targeting Claudin 18.2, a promising therapeutic target in"</t>
        </is>
      </c>
    </row>
    <row r="3">
      <c r="A3" t="inlineStr">
        <is>
          <t>CL-04</t>
        </is>
      </c>
      <c r="B3" t="inlineStr">
        <is>
          <t>CMG901</t>
        </is>
      </c>
      <c r="C3" t="inlineStr">
        <is>
          <t>AstraZeneca</t>
        </is>
      </c>
      <c r="D3" t="inlineStr">
        <is>
          <t>AstraZeneca</t>
        </is>
      </c>
      <c r="E3" t="inlineStr">
        <is>
          <t>HELD_BY_OTHERS</t>
        </is>
      </c>
      <c r="F3" t="inlineStr">
        <is>
          <t>Not marketed</t>
        </is>
      </c>
      <c r="G3" t="inlineStr">
        <is>
          <t>Phase 3 (via AZD0901)</t>
        </is>
      </c>
      <c r="H3" t="inlineStr">
        <is>
          <t>https://www.astrazeneca.com/media-centre/press-releases/2023/astrazeneca-enters-license-agreement-with-kym-biosciences-for-cmg901-a-claudin-182-antibody-drug-conjugate.html — "AstraZeneca and KYM Biosciences Inc. i have entered into a global exclusive licence agreement for CMG901, a potential first-in-class antibody drug conjugate (ADC) targeting Claudin 18.2, a promising therapeutic target in"</t>
        </is>
      </c>
    </row>
    <row r="4">
      <c r="A4" t="inlineStr">
        <is>
          <t>CL-05</t>
        </is>
      </c>
      <c r="B4" t="inlineStr">
        <is>
          <t>Sonesitatug vedotin</t>
        </is>
      </c>
      <c r="C4" t="inlineStr">
        <is>
          <t>AstraZeneca</t>
        </is>
      </c>
      <c r="D4" t="inlineStr">
        <is>
          <t>AstraZeneca</t>
        </is>
      </c>
      <c r="E4" t="inlineStr">
        <is>
          <t>HELD_BY_OTHERS</t>
        </is>
      </c>
      <c r="F4" t="inlineStr">
        <is>
          <t>Not marketed</t>
        </is>
      </c>
      <c r="G4" t="inlineStr">
        <is>
          <t>Phase 3</t>
        </is>
      </c>
      <c r="H4" t="inlineStr">
        <is>
          <t>https://www.astrazeneca.com/media-centre/press-releases/2023/astrazeneca-enters-license-agreement-with-kym-biosciences-for-cmg901-a-claudin-182-antibody-drug-conjugate.html — "AstraZeneca and KYM Biosciences Inc. i have entered into a global exclusive licence agreement for CMG901, a potential first-in-class antibody drug conjugate (ADC) targeting Claudin 18.2, a promising therapeutic target in"</t>
        </is>
      </c>
    </row>
    <row r="5">
      <c r="A5" t="inlineStr">
        <is>
          <t>CL-06</t>
        </is>
      </c>
      <c r="B5" t="inlineStr">
        <is>
          <t>IBI343</t>
        </is>
      </c>
      <c r="C5" t="inlineStr">
        <is>
          <t>Innovent Biologics (Suzhou) Co. Ltd.</t>
        </is>
      </c>
      <c r="D5" t="inlineStr">
        <is>
          <t>Takeda (ex-China licence from Innovent) - territory per Takeda PR</t>
        </is>
      </c>
      <c r="E5" t="inlineStr">
        <is>
          <t>HELD_BY_OTHERS</t>
        </is>
      </c>
      <c r="F5" t="inlineStr">
        <is>
          <t>Not marketed (under NMPA review in China)</t>
        </is>
      </c>
      <c r="G5" t="inlineStr">
        <is>
          <t>Phase 3 met primary endpoint</t>
        </is>
      </c>
      <c r="H5" t="inlineStr">
        <is>
          <t>https://www.takeda.com/newsroom/newsreleases/2025/innovent/ — "OSAKA, Japan and CAMBRIDGE, Massachusetts, October 21, 2025 – Takeda ( TSE:4502/NYSE:TAK ) today announced that it has entered into a license and collaboration agreement with Innovent Biologics (HKEX: 01801) for the deve"</t>
        </is>
      </c>
    </row>
    <row r="6">
      <c r="A6" t="inlineStr">
        <is>
          <t>CL-07</t>
        </is>
      </c>
      <c r="B6" t="inlineStr">
        <is>
          <t>LM-302</t>
        </is>
      </c>
      <c r="C6" t="inlineStr">
        <is>
          <t>LaNova Medicines Zhejiang Co., Ltd.</t>
        </is>
      </c>
      <c r="D6" t="inlineStr">
        <is>
          <t>LaNova / Sino Biopharm (BMS returned rights 2024)</t>
        </is>
      </c>
      <c r="E6" t="inlineStr">
        <is>
          <t>NOT_EVIDENCED</t>
        </is>
      </c>
      <c r="F6" t="inlineStr">
        <is>
          <t>Not marketed</t>
        </is>
      </c>
      <c r="G6" t="inlineStr">
        <is>
          <t>Phase 3 China</t>
        </is>
      </c>
      <c r="H6" t="inlineStr">
        <is>
          <t>https://pharmaphorum.com/news/msd-az-partner-lanova-bought-sino-biopharm-951m — "LaNova, meanwhile, previously had a licensing agreement in place with Bristol Myers Squibb for LM-302, an anti-Claudin18.2 ADC in early clinical development, but handed back rights last year, according to an ApexOnco rep"</t>
        </is>
      </c>
    </row>
    <row r="7">
      <c r="A7" t="inlineStr">
        <is>
          <t>CL-08</t>
        </is>
      </c>
      <c r="B7" t="inlineStr">
        <is>
          <t>SHR-A1904</t>
        </is>
      </c>
      <c r="C7" t="inlineStr">
        <is>
          <t>Shanghai Hengrui Pharmaceutical Co., Ltd.</t>
        </is>
      </c>
      <c r="D7" t="inlineStr">
        <is>
          <t>Hengrui; Merck KGaA holds ex-China option (exercise status unknown)</t>
        </is>
      </c>
      <c r="E7" t="inlineStr">
        <is>
          <t>HELD_BY_OTHERS</t>
        </is>
      </c>
      <c r="F7" t="inlineStr">
        <is>
          <t>Not marketed</t>
        </is>
      </c>
      <c r="G7" t="inlineStr">
        <is>
          <t>Phase 3 China</t>
        </is>
      </c>
      <c r="H7" t="inlineStr">
        <is>
          <t>https://www.biospace.com/hengrui-pharma-partners-with-merck-kgaa-darmstadt-germany-to-advance-innovative-cancer-therapies — "Merck KGaA, Darmstadt, Germany, will receive exclusive rights to develop, manufacture and commercialize HRS-1167 worldwide, outside of mainland China, an exclusive option to develop, manufacture and commercialize SHR-A19"</t>
        </is>
      </c>
    </row>
    <row r="8">
      <c r="A8" t="inlineStr">
        <is>
          <t>CL-10</t>
        </is>
      </c>
      <c r="B8" t="inlineStr">
        <is>
          <t>ASP2138</t>
        </is>
      </c>
      <c r="C8" t="inlineStr">
        <is>
          <t>Astellas Pharma Global Development, Inc.</t>
        </is>
      </c>
      <c r="D8" t="inlineStr">
        <is>
          <t>Astellas</t>
        </is>
      </c>
      <c r="E8" t="inlineStr">
        <is>
          <t>HELD_BY_OTHERS</t>
        </is>
      </c>
      <c r="F8" t="inlineStr">
        <is>
          <t>Not marketed</t>
        </is>
      </c>
      <c r="G8" t="inlineStr">
        <is>
          <t>Phase 3</t>
        </is>
      </c>
      <c r="H8" t="inlineStr">
        <is>
          <t>https://www.placera.se/pressmeddelanden/astellas-doses-first-patient-in-phase-3-study-of-asp2138-in-cldn18-2-postive-and-her2-negative-locally-advanced-unresectable-or-metastatic-gastric-or-gastroesophageal-junction-gej-adenocarcinoma-20260825 — "(TSE: 4503, President and CEO: Naoki Okamura, "Astellas") today announced that the first patient has been dosed in a Phase 3 study evaluating ASP2138 in combination with chemotherapy and pembrolizumab as first-line treat"</t>
        </is>
      </c>
    </row>
    <row r="9">
      <c r="A9" t="inlineStr">
        <is>
          <t>CL-11</t>
        </is>
      </c>
      <c r="B9" t="inlineStr">
        <is>
          <t>XNW27011</t>
        </is>
      </c>
      <c r="C9" t="inlineStr">
        <is>
          <t>Astellas Pharma Global Development, Inc.</t>
        </is>
      </c>
      <c r="D9" t="inlineStr">
        <is>
          <t>Astellas (worldwide ex-Greater China)</t>
        </is>
      </c>
      <c r="E9" t="inlineStr">
        <is>
          <t>HELD_BY_OTHERS</t>
        </is>
      </c>
      <c r="F9" t="inlineStr">
        <is>
          <t>Not marketed</t>
        </is>
      </c>
      <c r="G9" t="inlineStr">
        <is>
          <t>Phase 1/2-2</t>
        </is>
      </c>
      <c r="H9" t="inlineStr">
        <is>
          <t>https://www.drugdiscoveryonline.com/doc/astellas-enters-exclusive-license-clinical-stage-antibody-drug-targeting-cldn-0001 — "The agreement grants Astellas a worldwide (excluding China's mainland, Hong Kong, Macao and Taiwan region) exclusive license to develop and commercialize XNW27011."</t>
        </is>
      </c>
    </row>
    <row r="10">
      <c r="A10" t="inlineStr">
        <is>
          <t>CL-12</t>
        </is>
      </c>
      <c r="B10" t="inlineStr">
        <is>
          <t>ASP546C</t>
        </is>
      </c>
      <c r="C10" t="inlineStr">
        <is>
          <t>Astellas Pharma Global Development, Inc.</t>
        </is>
      </c>
      <c r="D10" t="inlineStr">
        <is>
          <t>Astellas (worldwide ex-Greater China)</t>
        </is>
      </c>
      <c r="E10" t="inlineStr">
        <is>
          <t>HELD_BY_OTHERS</t>
        </is>
      </c>
      <c r="F10" t="inlineStr">
        <is>
          <t>Not marketed</t>
        </is>
      </c>
      <c r="G10" t="inlineStr">
        <is>
          <t>Phase 2</t>
        </is>
      </c>
      <c r="H10" t="inlineStr">
        <is>
          <t>https://www.astellas.com/en/science/research-and-development/pipeline — "ASP546C/XNW27011: Astellas has worldwide rights excluding China's mainland, Hong Kong, Macau, and Taiwan."</t>
        </is>
      </c>
    </row>
    <row r="11">
      <c r="A11" t="inlineStr">
        <is>
          <t>CL-13</t>
        </is>
      </c>
      <c r="B11" t="inlineStr">
        <is>
          <t>Givastomig</t>
        </is>
      </c>
      <c r="C11" t="inlineStr">
        <is>
          <t>I-Mab Biopharma US Limited</t>
        </is>
      </c>
      <c r="D11" t="inlineStr">
        <is>
          <t>I-Mab (lead) shares worldwide ex-Greater China &amp; S.Korea rights equally with ABL Bio</t>
        </is>
      </c>
      <c r="E11" t="inlineStr">
        <is>
          <t>NOT_EVIDENCED</t>
        </is>
      </c>
      <c r="F11" t="inlineStr">
        <is>
          <t>Not marketed</t>
        </is>
      </c>
      <c r="G11" t="inlineStr">
        <is>
          <t>Phase 2 (registry active)</t>
        </is>
      </c>
      <c r="H11" t="inlineStr">
        <is>
          <t>https://natlawreview.com/press-releases/i-mab-announces-publication-givastomig-monotherapy-data-clinical-cancer — "Givastomig is being jointly developed through a global partnership with ABL Bio, in which I-Mab is the lead party and shares worldwide rights, excluding Greater China and South Korea, equally with ABL Bio."</t>
        </is>
      </c>
    </row>
    <row r="12">
      <c r="A12" t="inlineStr">
        <is>
          <t>CL-14</t>
        </is>
      </c>
      <c r="B12" t="inlineStr">
        <is>
          <t>EO-3021</t>
        </is>
      </c>
      <c r="C12" t="inlineStr">
        <is>
          <t>Elevation Oncology</t>
        </is>
      </c>
      <c r="D12" t="inlineStr">
        <is>
          <t>unknown (Elevation licence from CSPC; development discontinued)</t>
        </is>
      </c>
      <c r="E12" t="inlineStr">
        <is>
          <t>UNKNOWN</t>
        </is>
      </c>
      <c r="F12" t="inlineStr">
        <is>
          <t>Not marketed</t>
        </is>
      </c>
      <c r="G12" t="inlineStr">
        <is>
          <t>Discontinued</t>
        </is>
      </c>
      <c r="H12" t="inlineStr">
        <is>
          <t>https://www.sec.gov/Archives/edgar/data/1783032/000110465925025878/tm259617d1_ex99-1.htm — "“Based on these data, we have decided to discontinue further development of EO-3021."</t>
        </is>
      </c>
    </row>
    <row r="13">
      <c r="A13" t="inlineStr">
        <is>
          <t>CL-15</t>
        </is>
      </c>
      <c r="B13" t="inlineStr">
        <is>
          <t>SYSA1801</t>
        </is>
      </c>
      <c r="C13" t="inlineStr">
        <is>
          <t>CSPC ZhongQi Pharmaceutical Technology Co., Ltd.</t>
        </is>
      </c>
      <c r="D13" t="inlineStr">
        <is>
          <t>unknown (CSPC originator; ex-China licensed to Elevation 2022)</t>
        </is>
      </c>
      <c r="E13" t="inlineStr">
        <is>
          <t>UNKNOWN</t>
        </is>
      </c>
      <c r="F13" t="inlineStr">
        <is>
          <t>Not marketed</t>
        </is>
      </c>
      <c r="G13" t="inlineStr">
        <is>
          <t>Phase 1; registry UNKNOWN</t>
        </is>
      </c>
      <c r="H13" t="inlineStr">
        <is>
          <t>https://www.sec.gov/Archives/edgar/data/1783032/000155837022011277/elev-20220727xex99d1.htm — "(Nasdaq: ELEV), a clinical stage biopharmaceutical company focused on the development of precision oncology products for patients with genomically defined cancers, today announced that it has entered into an exclusive li"</t>
        </is>
      </c>
    </row>
    <row r="14">
      <c r="A14" t="inlineStr">
        <is>
          <t>CL-16</t>
        </is>
      </c>
      <c r="B14" t="inlineStr">
        <is>
          <t>ATG-022</t>
        </is>
      </c>
      <c r="C14" t="inlineStr">
        <is>
          <t>Antengene Biologics Limited</t>
        </is>
      </c>
      <c r="D14" t="inlineStr">
        <is>
          <t>Antengene (global rights per company)</t>
        </is>
      </c>
      <c r="E14" t="inlineStr">
        <is>
          <t>NOT_EVIDENCED</t>
        </is>
      </c>
      <c r="F14" t="inlineStr">
        <is>
          <t>Not marketed</t>
        </is>
      </c>
      <c r="G14" t="inlineStr">
        <is>
          <t>Phase 3 in registry</t>
        </is>
      </c>
      <c r="H14" t="inlineStr">
        <is>
          <t>https://www.1stoncology.com/blog/2024/page/503 — "Our four global rights assets — ATG-022 (Claudin 18.2 ADC) ... have all advanced steadily as planned."</t>
        </is>
      </c>
    </row>
    <row r="15">
      <c r="A15" t="inlineStr">
        <is>
          <t>CL-17</t>
        </is>
      </c>
      <c r="B15" t="inlineStr">
        <is>
          <t>AZD5863</t>
        </is>
      </c>
      <c r="C15" t="inlineStr">
        <is>
          <t>AstraZeneca</t>
        </is>
      </c>
      <c r="D15" t="inlineStr">
        <is>
          <t>AstraZeneca (sponsor; licence from Harbour BioMed not sourced here)</t>
        </is>
      </c>
      <c r="E15" t="inlineStr">
        <is>
          <t>HELD_BY_OTHERS</t>
        </is>
      </c>
      <c r="F15" t="inlineStr">
        <is>
          <t>Not marketed</t>
        </is>
      </c>
      <c r="G15" t="inlineStr">
        <is>
          <t>Phase 2</t>
        </is>
      </c>
      <c r="H15" t="inlineStr">
        <is>
          <t>landscape cell</t>
        </is>
      </c>
    </row>
    <row r="16">
      <c r="A16" t="inlineStr">
        <is>
          <t>CL-20</t>
        </is>
      </c>
      <c r="B16" t="inlineStr">
        <is>
          <t>QLS31905</t>
        </is>
      </c>
      <c r="C16" t="inlineStr">
        <is>
          <t>Qilu Pharmaceutical Co., Ltd.</t>
        </is>
      </c>
      <c r="D16" t="inlineStr">
        <is>
          <t>Qilu Pharmaceutical (no ex-China licence found)</t>
        </is>
      </c>
      <c r="E16" t="inlineStr">
        <is>
          <t>NOT_EVIDENCED</t>
        </is>
      </c>
      <c r="F16" t="inlineStr">
        <is>
          <t>Not marketed</t>
        </is>
      </c>
      <c r="G16" t="inlineStr">
        <is>
          <t>Phase 3 China</t>
        </is>
      </c>
      <c r="H16" t="inlineStr">
        <is>
          <t>https://global.pharmcube.com/news/detail/16ce1e2a8baf44889e902eefde49effc — "On 22 July, Qilu Pharma launched a Phase III trial (n=602) for QLS31905, the world's first CLDN18.2/CD3 bispecific antibody (BsAb) in late-stage development."</t>
        </is>
      </c>
    </row>
    <row r="17">
      <c r="A17" t="inlineStr">
        <is>
          <t>CL-24</t>
        </is>
      </c>
      <c r="B17" t="inlineStr">
        <is>
          <t>JS107</t>
        </is>
      </c>
      <c r="C17" t="inlineStr">
        <is>
          <t>NingBo Junyan Hongshi Biosciences Co., Ltd</t>
        </is>
      </c>
      <c r="D17" t="inlineStr">
        <is>
          <t>Junshi / NingBo Junyan Hongshi (no ex-China licence found)</t>
        </is>
      </c>
      <c r="E17" t="inlineStr">
        <is>
          <t>NOT_EVIDENCED</t>
        </is>
      </c>
      <c r="F17" t="inlineStr">
        <is>
          <t>Not marketed</t>
        </is>
      </c>
      <c r="G17" t="inlineStr">
        <is>
          <t>Phase 3 China</t>
        </is>
      </c>
      <c r="H17" t="inlineStr">
        <is>
          <t>landscape cell</t>
        </is>
      </c>
    </row>
    <row r="18">
      <c r="A18" t="inlineStr">
        <is>
          <t>CL-25</t>
        </is>
      </c>
      <c r="B18" t="inlineStr">
        <is>
          <t>RC118</t>
        </is>
      </c>
      <c r="C18" t="inlineStr">
        <is>
          <t>RemeGen Co., Ltd.</t>
        </is>
      </c>
      <c r="D18" t="inlineStr">
        <is>
          <t>RemeGen (self-developed)</t>
        </is>
      </c>
      <c r="E18" t="inlineStr">
        <is>
          <t>NOT_EVIDENCED</t>
        </is>
      </c>
      <c r="F18" t="inlineStr">
        <is>
          <t>Not marketed</t>
        </is>
      </c>
      <c r="G18" t="inlineStr">
        <is>
          <t>Phase 2</t>
        </is>
      </c>
      <c r="H18" t="inlineStr">
        <is>
          <t>https://www.biospace.com/remegen-s-rc118-for-injection-targeting-claudin-18-2-in-patients-with-gastric-and-pancreatic-cancers-granted-two-orphan-drug-designations-by-u-s-fda — "Self-developed, RC118 is RemeGen's latest advanced antibody-drug conjugate (ADC) used to treat patients with solid tumors positive for Claudin 18.2 expressions."</t>
        </is>
      </c>
    </row>
    <row r="19">
      <c r="A19" t="inlineStr">
        <is>
          <t>CL-27</t>
        </is>
      </c>
      <c r="B19" t="inlineStr">
        <is>
          <t>SKB315</t>
        </is>
      </c>
      <c r="C19" t="inlineStr">
        <is>
          <t>Sichuan Kelun-Biotech Biopharmaceutical Co., Ltd.</t>
        </is>
      </c>
      <c r="D19" t="inlineStr">
        <is>
          <t>Kelun-Biotech (Merck returned global rights Aug 2024)</t>
        </is>
      </c>
      <c r="E19" t="inlineStr">
        <is>
          <t>NOT_EVIDENCED</t>
        </is>
      </c>
      <c r="F19" t="inlineStr">
        <is>
          <t>Not marketed</t>
        </is>
      </c>
      <c r="G19" t="inlineStr">
        <is>
          <t>Phase 2</t>
        </is>
      </c>
      <c r="H19" t="inlineStr">
        <is>
          <t>https://synapse.patsnap.com/article/merck-co-invests-in-kelun-bispecific-adc-exits-cldn182-program — "Kelun is committed to accelerating the development of SKB315 in China and exploring possibilities for expanding into international markets."</t>
        </is>
      </c>
    </row>
    <row r="20">
      <c r="A20" t="inlineStr">
        <is>
          <t>CL-29</t>
        </is>
      </c>
      <c r="B20" t="inlineStr">
        <is>
          <t>BL-M05D1</t>
        </is>
      </c>
      <c r="C20" t="inlineStr">
        <is>
          <t>Sichuan Baili Pharmaceutical Co., Ltd.</t>
        </is>
      </c>
      <c r="D20" t="inlineStr">
        <is>
          <t>Sichuan Baili / SystImmune (US affiliate) - no licence found</t>
        </is>
      </c>
      <c r="E20" t="inlineStr">
        <is>
          <t>NOT_EVIDENCED</t>
        </is>
      </c>
      <c r="F20" t="inlineStr">
        <is>
          <t>Not marketed</t>
        </is>
      </c>
      <c r="G20" t="inlineStr">
        <is>
          <t>Phase 3 China (registrational)</t>
        </is>
      </c>
      <c r="H20" t="inlineStr">
        <is>
          <t>https://www.biospace.com/press-releases/new-clinical-data-for-izalontamab-brengitecan-and-novel-adc-pipeline-to-be-presented-at-asco-2026 — "BL-M05D1 targets Claudin 18.2"</t>
        </is>
      </c>
    </row>
    <row r="21">
      <c r="A21" t="inlineStr">
        <is>
          <t>CL-31</t>
        </is>
      </c>
      <c r="B21" t="inlineStr">
        <is>
          <t>Spevatamig (PT886)</t>
        </is>
      </c>
      <c r="C21" t="inlineStr">
        <is>
          <t>Phanes Therapeutics</t>
        </is>
      </c>
      <c r="D21" t="inlineStr">
        <is>
          <t>Phanes Therapeutics (wholly owned; Merck = supply collaboration only)</t>
        </is>
      </c>
      <c r="E21" t="inlineStr">
        <is>
          <t>NOT_EVIDENCED</t>
        </is>
      </c>
      <c r="F21" t="inlineStr">
        <is>
          <t>Not marketed</t>
        </is>
      </c>
      <c r="G21" t="inlineStr">
        <is>
          <t>Phase 2 (TWINPEAK)</t>
        </is>
      </c>
      <c r="H21" t="inlineStr">
        <is>
          <t>https://www.clinicaltrialsarena.com/?p=189720 — "clinical trial collaboration and supply agreement with Merck to evaluate PT886 in combination with KEYTRUDA"</t>
        </is>
      </c>
    </row>
    <row r="22">
      <c r="A22" t="inlineStr">
        <is>
          <t>CL-36</t>
        </is>
      </c>
      <c r="B22" t="inlineStr">
        <is>
          <t>AMG 910</t>
        </is>
      </c>
      <c r="C22" t="inlineStr">
        <is>
          <t>Amgen</t>
        </is>
      </c>
      <c r="D22" t="inlineStr">
        <is>
          <t>Amgen</t>
        </is>
      </c>
      <c r="E22" t="inlineStr">
        <is>
          <t>HELD_BY_OTHERS</t>
        </is>
      </c>
      <c r="F22" t="inlineStr">
        <is>
          <t>Not marketed</t>
        </is>
      </c>
      <c r="G22" t="inlineStr">
        <is>
          <t>Terminated</t>
        </is>
      </c>
      <c r="H22" t="inlineStr">
        <is>
          <t>landscape cell</t>
        </is>
      </c>
    </row>
    <row r="23">
      <c r="A23" t="inlineStr">
        <is>
          <t>CL-37</t>
        </is>
      </c>
      <c r="B23" t="inlineStr">
        <is>
          <t>TORL-2-307-ADC</t>
        </is>
      </c>
      <c r="C23" t="inlineStr">
        <is>
          <t>TORL Biotherapeutics, LLC</t>
        </is>
      </c>
      <c r="D23" t="inlineStr">
        <is>
          <t>TORL Biotherapeutics (originator)</t>
        </is>
      </c>
      <c r="E23" t="inlineStr">
        <is>
          <t>NOT_EVIDENCED</t>
        </is>
      </c>
      <c r="F23" t="inlineStr">
        <is>
          <t>Not marketed</t>
        </is>
      </c>
      <c r="G23" t="inlineStr">
        <is>
          <t>Phase 1 active-not-recruiting</t>
        </is>
      </c>
      <c r="H23" t="inlineStr">
        <is>
          <t>https://clinicaltrials.gov/study/NCT05156866 — "First in Human Study of TORL-2-307-ADC"</t>
        </is>
      </c>
    </row>
    <row r="24">
      <c r="A24" t="inlineStr">
        <is>
          <t>CL-38</t>
        </is>
      </c>
      <c r="B24" t="inlineStr">
        <is>
          <t>LCB02A</t>
        </is>
      </c>
      <c r="C24" t="inlineStr">
        <is>
          <t>LigaChem Biosciences, Inc.</t>
        </is>
      </c>
      <c r="D24" t="inlineStr">
        <is>
          <t>LigaChem Biosciences</t>
        </is>
      </c>
      <c r="E24" t="inlineStr">
        <is>
          <t>NOT_EVIDENCED</t>
        </is>
      </c>
      <c r="F24" t="inlineStr">
        <is>
          <t>Not marketed</t>
        </is>
      </c>
      <c r="G24" t="inlineStr">
        <is>
          <t>Phase 1/2 started 2026</t>
        </is>
      </c>
      <c r="H24" t="inlineStr">
        <is>
          <t>https://www.asiae.co.kr/en/article/2026041416334105627 — "LCB02A received its official clinical trial registration number (NCT07460375) from the world's largest clinical information platform, ClinicalTrials.gov, on March 10, marking the official start of its clinical developmen"</t>
        </is>
      </c>
    </row>
    <row r="25">
      <c r="A25" t="inlineStr">
        <is>
          <t>CL-39</t>
        </is>
      </c>
      <c r="B25" t="inlineStr">
        <is>
          <t>Q-1802</t>
        </is>
      </c>
      <c r="C25" t="inlineStr">
        <is>
          <t>QureBio Ltd.</t>
        </is>
      </c>
      <c r="D25" t="inlineStr">
        <is>
          <t>QureBio</t>
        </is>
      </c>
      <c r="E25" t="inlineStr">
        <is>
          <t>UNKNOWN</t>
        </is>
      </c>
      <c r="F25" t="inlineStr">
        <is>
          <t>Not marketed</t>
        </is>
      </c>
      <c r="G25" t="inlineStr">
        <is>
          <t>Registry UNKNOWN</t>
        </is>
      </c>
      <c r="H25" t="inlineStr">
        <is>
          <t>landscape cell</t>
        </is>
      </c>
    </row>
    <row r="26">
      <c r="A26" t="inlineStr">
        <is>
          <t>CL-43</t>
        </is>
      </c>
      <c r="B26" t="inlineStr">
        <is>
          <t>TQB2103</t>
        </is>
      </c>
      <c r="C26" t="inlineStr">
        <is>
          <t>Chia Tai Tianqing Pharmaceutical Group Nanjing Shunxin Pharmaceutical Co., Ltd.</t>
        </is>
      </c>
      <c r="D26" t="inlineStr">
        <is>
          <t>Chia Tai Tianqing</t>
        </is>
      </c>
      <c r="E26" t="inlineStr">
        <is>
          <t>UNKNOWN</t>
        </is>
      </c>
      <c r="F26" t="inlineStr">
        <is>
          <t>Not marketed</t>
        </is>
      </c>
      <c r="G26" t="inlineStr">
        <is>
          <t>Registry UNKNOWN</t>
        </is>
      </c>
      <c r="H26" t="inlineStr">
        <is>
          <t>landscape cell</t>
        </is>
      </c>
    </row>
    <row r="27">
      <c r="A27" t="inlineStr">
        <is>
          <t>CL-44</t>
        </is>
      </c>
      <c r="B27" t="inlineStr">
        <is>
          <t>SG1906</t>
        </is>
      </c>
      <c r="C27" t="inlineStr">
        <is>
          <t>Hangzhou Sumgen Biotech Co., Ltd.</t>
        </is>
      </c>
      <c r="D27" t="inlineStr">
        <is>
          <t>Sumgen Biotech</t>
        </is>
      </c>
      <c r="E27" t="inlineStr">
        <is>
          <t>NOT_EVIDENCED</t>
        </is>
      </c>
      <c r="F27" t="inlineStr">
        <is>
          <t>Not marketed</t>
        </is>
      </c>
      <c r="G27" t="inlineStr">
        <is>
          <t>Phase 1 active</t>
        </is>
      </c>
      <c r="H27" t="inlineStr">
        <is>
          <t>landscape cell</t>
        </is>
      </c>
    </row>
    <row r="28">
      <c r="A28" t="inlineStr">
        <is>
          <t>CL-46</t>
        </is>
      </c>
      <c r="B28" t="inlineStr">
        <is>
          <t>VBC108</t>
        </is>
      </c>
      <c r="C28" t="inlineStr">
        <is>
          <t>VelaVigo Bio Inc</t>
        </is>
      </c>
      <c r="D28" t="inlineStr">
        <is>
          <t>VelaVigo Bio</t>
        </is>
      </c>
      <c r="E28" t="inlineStr">
        <is>
          <t>NOT_EVIDENCED</t>
        </is>
      </c>
      <c r="F28" t="inlineStr">
        <is>
          <t>Not marketed</t>
        </is>
      </c>
      <c r="G28" t="inlineStr">
        <is>
          <t>Phase 1/2a active</t>
        </is>
      </c>
      <c r="H28" t="inlineStr">
        <is>
          <t>https://clinicaltrials.gov/api/v2/studies?query.term=VBC108&amp;fields=NCTId,BriefTitle,OfficialTitle,LeadSponsorName,OverallStatus,InterventionName,InterventionDescription&amp;pageSize=3 — "Phase 1/2a Open-label Clinical Trial Evaluating VBC108, a CLDN18.2 and CDH17-directed Bi-specific Antibody Drug Conjugate, in Participants With Advanced Malignant Solid Tumors"</t>
        </is>
      </c>
    </row>
    <row r="29">
      <c r="A29" t="inlineStr">
        <is>
          <t>CL-51</t>
        </is>
      </c>
      <c r="B29" t="inlineStr">
        <is>
          <t>AK132</t>
        </is>
      </c>
      <c r="C29" t="inlineStr">
        <is>
          <t>Akeso</t>
        </is>
      </c>
      <c r="D29" t="inlineStr">
        <is>
          <t>Akeso</t>
        </is>
      </c>
      <c r="E29" t="inlineStr">
        <is>
          <t>UNKNOWN</t>
        </is>
      </c>
      <c r="F29" t="inlineStr">
        <is>
          <t>Not marketed</t>
        </is>
      </c>
      <c r="G29" t="inlineStr">
        <is>
          <t>Registry UNKNOWN</t>
        </is>
      </c>
      <c r="H29" t="inlineStr">
        <is>
          <t>landscape cell</t>
        </is>
      </c>
    </row>
    <row r="30">
      <c r="A30" t="inlineStr">
        <is>
          <t>CL-55</t>
        </is>
      </c>
      <c r="B30" t="inlineStr">
        <is>
          <t>DA-3501</t>
        </is>
      </c>
      <c r="C30" t="inlineStr">
        <is>
          <t>Dong-A ST Co., Ltd.</t>
        </is>
      </c>
      <c r="D30" t="inlineStr">
        <is>
          <t>Dong-A ST</t>
        </is>
      </c>
      <c r="E30" t="inlineStr">
        <is>
          <t>NOT_EVIDENCED</t>
        </is>
      </c>
      <c r="F30" t="inlineStr">
        <is>
          <t>Not marketed</t>
        </is>
      </c>
      <c r="G30" t="inlineStr">
        <is>
          <t>Phase 1 active</t>
        </is>
      </c>
      <c r="H30" t="inlineStr">
        <is>
          <t>https://www.asiae.co.kr/en/article/2025062415383793065 — "'DA-3501' is an ADC candidate that targets 'Claudin 18.2', a protein exposed during the carcinogenesis of gastric mucosal cells."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Program ID</t>
        </is>
      </c>
      <c r="C1" t="inlineStr">
        <is>
          <t>Program</t>
        </is>
      </c>
      <c r="D1" t="inlineStr">
        <is>
          <t>Why attractive</t>
        </is>
      </c>
      <c r="E1" t="inlineStr">
        <is>
          <t>Key risks</t>
        </is>
      </c>
      <c r="F1" t="inlineStr">
        <is>
          <t>Open questions</t>
        </is>
      </c>
      <c r="G1" t="inlineStr">
        <is>
          <t>Availability</t>
        </is>
      </c>
    </row>
    <row r="2">
      <c r="A2" t="n">
        <v>1</v>
      </c>
      <c r="B2" t="inlineStr">
        <is>
          <t>CL-07</t>
        </is>
      </c>
      <c r="C2" t="inlineStr">
        <is>
          <t>LM-302</t>
        </is>
      </c>
      <c r="D2" t="inlineStr">
        <is>
          <t>Phase 3 MMAE ADC, ex-US rights returned by BMS; fits ADC capability</t>
        </is>
      </c>
      <c r="E2" t="inlineStr">
        <is>
          <t>Crowded MMAE class; China-only data; Sino Biopharm may keep global</t>
        </is>
      </c>
      <c r="F2" t="inlineStr">
        <is>
          <t>Is Sino Biopharm seeking an ex-China partner? Phase 3 readout timing?</t>
        </is>
      </c>
      <c r="G2" t="inlineStr">
        <is>
          <t>NOT_EVIDENCED</t>
        </is>
      </c>
    </row>
    <row r="3">
      <c r="A3" t="n">
        <v>2</v>
      </c>
      <c r="B3" t="inlineStr">
        <is>
          <t>CL-27</t>
        </is>
      </c>
      <c r="C3" t="inlineStr">
        <is>
          <t>SKB315</t>
        </is>
      </c>
      <c r="D3" t="inlineStr">
        <is>
          <t>TOP1i ADC, global rights back from Merck; Kelun states intent to expand internationally</t>
        </is>
      </c>
      <c r="E3" t="inlineStr">
        <is>
          <t>Merck walked away (reason undisclosed); Phase 2 only</t>
        </is>
      </c>
      <c r="F3" t="inlineStr">
        <is>
          <t>Why did Merck return it? Kelun ex-China partnering appetite/terms?</t>
        </is>
      </c>
      <c r="G3" t="inlineStr">
        <is>
          <t>NOT_EVIDENCED</t>
        </is>
      </c>
    </row>
    <row r="4">
      <c r="A4" t="n">
        <v>3</v>
      </c>
      <c r="B4" t="inlineStr">
        <is>
          <t>CL-16</t>
        </is>
      </c>
      <c r="C4" t="inlineStr">
        <is>
          <t>ATG-022</t>
        </is>
      </c>
      <c r="D4" t="inlineStr">
        <is>
          <t>ADC with company-stated global rights; Phase 3 in registry; FDA orphan</t>
        </is>
      </c>
      <c r="E4" t="inlineStr">
        <is>
          <t>Small company data depth; MSD collab is supply-only</t>
        </is>
      </c>
      <c r="F4" t="inlineStr">
        <is>
          <t>Is Antengene open to US out-licence? Phase 3 design/region?</t>
        </is>
      </c>
      <c r="G4" t="inlineStr">
        <is>
          <t>NOT_EVIDENCED</t>
        </is>
      </c>
    </row>
    <row r="5">
      <c r="A5" t="n">
        <v>4</v>
      </c>
      <c r="B5" t="inlineStr">
        <is>
          <t>CL-24</t>
        </is>
      </c>
      <c r="C5" t="inlineStr">
        <is>
          <t>JS107</t>
        </is>
      </c>
      <c r="D5" t="inlineStr">
        <is>
          <t>Phase 3 MMAE ADC, 1L combo ORR 73% (AACR 2025, unverified)</t>
        </is>
      </c>
      <c r="E5" t="inlineStr">
        <is>
          <t>No ex-China rights info; China-only</t>
        </is>
      </c>
      <c r="F5" t="inlineStr">
        <is>
          <t>Who holds ex-China rights? Any licence?</t>
        </is>
      </c>
      <c r="G5" t="inlineStr">
        <is>
          <t>NOT_EVIDENCED</t>
        </is>
      </c>
    </row>
    <row r="6">
      <c r="A6" t="n">
        <v>5</v>
      </c>
      <c r="B6" t="inlineStr">
        <is>
          <t>CL-29</t>
        </is>
      </c>
      <c r="C6" t="inlineStr">
        <is>
          <t>BL-M05D1</t>
        </is>
      </c>
      <c r="D6" t="inlineStr">
        <is>
          <t>Registrational Phase 3 TOP1i ADC; US affiliate SystImmune sponsors a trial</t>
        </is>
      </c>
      <c r="E6" t="inlineStr">
        <is>
          <t>Rights split Baili/SystImmune unknown; BMS ties on other assets</t>
        </is>
      </c>
      <c r="F6" t="inlineStr">
        <is>
          <t>Is BL-M05D1 outside the BMS deal? Availability?</t>
        </is>
      </c>
      <c r="G6" t="inlineStr">
        <is>
          <t>NOT_EVIDENCED</t>
        </is>
      </c>
    </row>
    <row r="7">
      <c r="A7" t="n">
        <v>6</v>
      </c>
      <c r="B7" t="inlineStr">
        <is>
          <t>CL-20</t>
        </is>
      </c>
      <c r="C7" t="inlineStr">
        <is>
          <t>QLS31905</t>
        </is>
      </c>
      <c r="D7" t="inlineStr">
        <is>
          <t>First CLDN18.2xCD3 TCE in Phase 3; FDA orphan (PDAC)</t>
        </is>
      </c>
      <c r="E7" t="inlineStr">
        <is>
          <t>TCE CRS risk; not ADC (no mfg synergy)</t>
        </is>
      </c>
      <c r="F7" t="inlineStr">
        <is>
          <t>Ex-China rights status; relation to ANO31905/Anova?</t>
        </is>
      </c>
      <c r="G7" t="inlineStr">
        <is>
          <t>NOT_EVIDENCED</t>
        </is>
      </c>
    </row>
    <row r="8">
      <c r="A8" t="n">
        <v>7</v>
      </c>
      <c r="B8" t="inlineStr">
        <is>
          <t>CL-31</t>
        </is>
      </c>
      <c r="C8" t="inlineStr">
        <is>
          <t>Spevatamig (PT886)</t>
        </is>
      </c>
      <c r="D8" t="inlineStr">
        <is>
          <t>US-based, wholly owned CLDN18.2xCD47 bispecific; Phase 2; Fast Track (BTC)</t>
        </is>
      </c>
      <c r="E8" t="inlineStr">
        <is>
          <t>CD47 class safety history; not ADC</t>
        </is>
      </c>
      <c r="F8" t="inlineStr">
        <is>
          <t>Partnering intent? Gastric cohort data?</t>
        </is>
      </c>
      <c r="G8" t="inlineStr">
        <is>
          <t>NOT_EVIDENCED</t>
        </is>
      </c>
    </row>
    <row r="9">
      <c r="A9" t="n">
        <v>8</v>
      </c>
      <c r="B9" t="inlineStr">
        <is>
          <t>CL-13</t>
        </is>
      </c>
      <c r="C9" t="inlineStr">
        <is>
          <t>Givastomig</t>
        </is>
      </c>
      <c r="D9" t="inlineStr">
        <is>
          <t>CLDN18.2x4-1BB bispecific; US company with ex-China rights</t>
        </is>
      </c>
      <c r="E9" t="inlineStr">
        <is>
          <t>Rights split 50/50 with ABL Bio; 4-1BB liver tox class risk</t>
        </is>
      </c>
      <c r="F9" t="inlineStr">
        <is>
          <t>Would both I-Mab and ABL Bio transact?</t>
        </is>
      </c>
      <c r="G9" t="inlineStr">
        <is>
          <t>NOT_EVIDENCED</t>
        </is>
      </c>
    </row>
    <row r="10">
      <c r="A10" t="n">
        <v>9</v>
      </c>
      <c r="B10" t="inlineStr">
        <is>
          <t>CL-25</t>
        </is>
      </c>
      <c r="C10" t="inlineStr">
        <is>
          <t>RC118</t>
        </is>
      </c>
      <c r="D10" t="inlineStr">
        <is>
          <t>Self-developed ADC from RemeGen (proven out-licensor)</t>
        </is>
      </c>
      <c r="E10" t="inlineStr">
        <is>
          <t>Solid-tumour basket; gastric data unclear</t>
        </is>
      </c>
      <c r="F10" t="inlineStr">
        <is>
          <t>Gastric efficacy data? Ex-China rights?</t>
        </is>
      </c>
      <c r="G10" t="inlineStr">
        <is>
          <t>NOT_EVIDENCED</t>
        </is>
      </c>
    </row>
    <row r="11">
      <c r="A11" t="n">
        <v>10</v>
      </c>
      <c r="B11" t="inlineStr">
        <is>
          <t>CL-46</t>
        </is>
      </c>
      <c r="C11" t="inlineStr">
        <is>
          <t>VBC108</t>
        </is>
      </c>
      <c r="D11" t="inlineStr">
        <is>
          <t>Bispecific ADC (CLDN18.2xCDH17) - differentiated, fits ADC mfg</t>
        </is>
      </c>
      <c r="E11" t="inlineStr">
        <is>
          <t>Early Phase 1/2a; small private company</t>
        </is>
      </c>
      <c r="F11" t="inlineStr">
        <is>
          <t>Data timing; ownership; ex-China rights</t>
        </is>
      </c>
      <c r="G11" t="inlineStr">
        <is>
          <t>NOT_EVIDENCED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LM-302 (CL-07) buyer-perspective rNPV, $M. ALL INPUTS HYPOTHETICAL (protocol placeholders) or ANALYST ASSUMPTION. Not a sourced valuation.</t>
        </is>
      </c>
    </row>
    <row r="2">
      <c r="A2" t="inlineStr">
        <is>
          <t>Input</t>
        </is>
      </c>
      <c r="B2" t="inlineStr">
        <is>
          <t>Base</t>
        </is>
      </c>
      <c r="C2" t="inlineStr">
        <is>
          <t>Bear</t>
        </is>
      </c>
      <c r="D2" t="inlineStr">
        <is>
          <t>Bull</t>
        </is>
      </c>
      <c r="E2" t="inlineStr">
        <is>
          <t>Label</t>
        </is>
      </c>
    </row>
    <row r="3">
      <c r="A3" t="inlineStr">
        <is>
          <t>Addressable patients</t>
        </is>
      </c>
      <c r="B3" t="n">
        <v>6000</v>
      </c>
      <c r="C3" t="n">
        <v>6000</v>
      </c>
      <c r="D3" t="n">
        <v>6000</v>
      </c>
      <c r="E3" t="inlineStr">
        <is>
          <t>HYPOTHETICAL</t>
        </is>
      </c>
    </row>
    <row r="4">
      <c r="A4" t="inlineStr">
        <is>
          <t>Net price $</t>
        </is>
      </c>
      <c r="B4" t="n">
        <v>150000</v>
      </c>
      <c r="C4" t="n">
        <v>150000</v>
      </c>
      <c r="D4" t="n">
        <v>150000</v>
      </c>
      <c r="E4" t="inlineStr">
        <is>
          <t>HYPOTHETICAL</t>
        </is>
      </c>
    </row>
    <row r="5">
      <c r="A5" t="inlineStr">
        <is>
          <t>Peak penetration</t>
        </is>
      </c>
      <c r="B5" t="n">
        <v>0.15</v>
      </c>
      <c r="C5" t="n">
        <v>0.075</v>
      </c>
      <c r="D5" t="n">
        <v>0.225</v>
      </c>
      <c r="E5" t="inlineStr">
        <is>
          <t>HYPOTHETICAL x scenario mult (ANALYST: bear 0.5x, bull 1.5x)</t>
        </is>
      </c>
    </row>
    <row r="6">
      <c r="A6" t="inlineStr">
        <is>
          <t>Years to peak</t>
        </is>
      </c>
      <c r="B6" t="n">
        <v>5</v>
      </c>
      <c r="C6" t="n">
        <v>5</v>
      </c>
      <c r="D6" t="n">
        <v>5</v>
      </c>
      <c r="E6" t="inlineStr">
        <is>
          <t>HYPOTHETICAL</t>
        </is>
      </c>
    </row>
    <row r="7">
      <c r="A7" t="inlineStr">
        <is>
          <t>Patent life yrs from launch</t>
        </is>
      </c>
      <c r="B7" t="n">
        <v>12</v>
      </c>
      <c r="C7" t="n">
        <v>12</v>
      </c>
      <c r="D7" t="n">
        <v>12</v>
      </c>
      <c r="E7" t="inlineStr">
        <is>
          <t>HYPOTHETICAL</t>
        </is>
      </c>
    </row>
    <row r="8">
      <c r="A8" t="inlineStr">
        <is>
          <t>Discount rate</t>
        </is>
      </c>
      <c r="B8" t="n">
        <v>0.1</v>
      </c>
      <c r="C8" t="n">
        <v>0.1</v>
      </c>
      <c r="D8" t="n">
        <v>0.1</v>
      </c>
      <c r="E8" t="inlineStr">
        <is>
          <t>HYPOTHETICAL</t>
        </is>
      </c>
    </row>
    <row r="9">
      <c r="A9" t="inlineStr">
        <is>
          <t>Operating margin on sales</t>
        </is>
      </c>
      <c r="B9" t="n">
        <v>0.4</v>
      </c>
      <c r="C9" t="n">
        <v>0.4</v>
      </c>
      <c r="D9" t="n">
        <v>0.4</v>
      </c>
      <c r="E9" t="inlineStr">
        <is>
          <t>ANALYST ASSUMPTION</t>
        </is>
      </c>
    </row>
    <row r="10">
      <c r="A10" t="inlineStr">
        <is>
          <t>Cumulative PoS to approval</t>
        </is>
      </c>
      <c r="B10" t="n">
        <v>0.45</v>
      </c>
      <c r="C10" t="n">
        <v>0.288</v>
      </c>
      <c r="D10" t="n">
        <v>0.45</v>
      </c>
      <c r="E10" t="inlineStr">
        <is>
          <t>HYPOTHETICAL phase PoS product (bear: each x0.8, ANALYST)</t>
        </is>
      </c>
    </row>
    <row r="11">
      <c r="A11" t="inlineStr">
        <is>
          <t>Years to launch</t>
        </is>
      </c>
      <c r="B11" t="n">
        <v>4</v>
      </c>
      <c r="C11" t="n">
        <v>4</v>
      </c>
      <c r="D11" t="n">
        <v>4</v>
      </c>
      <c r="E11" t="inlineStr">
        <is>
          <t>HYPOTHETICAL durations</t>
        </is>
      </c>
    </row>
    <row r="12">
      <c r="A12" t="inlineStr">
        <is>
          <t>Licence royalty</t>
        </is>
      </c>
      <c r="B12" t="n">
        <v>0.12</v>
      </c>
      <c r="C12" t="n">
        <v>0.12</v>
      </c>
      <c r="D12" t="n">
        <v>0.12</v>
      </c>
      <c r="E12" t="inlineStr">
        <is>
          <t>HYPOTHETICAL</t>
        </is>
      </c>
    </row>
    <row r="13">
      <c r="A13" t="inlineStr">
        <is>
          <t>Licence milestones (at launch)</t>
        </is>
      </c>
      <c r="B13" t="n">
        <v>500</v>
      </c>
      <c r="C13" t="n">
        <v>500</v>
      </c>
      <c r="D13" t="n">
        <v>500</v>
      </c>
      <c r="E13" t="inlineStr">
        <is>
          <t>HYPOTHETICAL; ANALYST: all paid at launch</t>
        </is>
      </c>
    </row>
    <row r="14">
      <c r="A14" t="inlineStr">
        <is>
          <t>Licence upfront</t>
        </is>
      </c>
      <c r="B14" t="n">
        <v>100</v>
      </c>
      <c r="C14" t="n">
        <v>100</v>
      </c>
      <c r="D14" t="n">
        <v>100</v>
      </c>
      <c r="E14" t="inlineStr">
        <is>
          <t>HYPOTHETICAL</t>
        </is>
      </c>
    </row>
    <row r="15">
      <c r="A15" t="inlineStr">
        <is>
          <t>Acquisition upfront</t>
        </is>
      </c>
      <c r="B15" t="n">
        <v>400</v>
      </c>
      <c r="C15" t="n">
        <v>400</v>
      </c>
      <c r="D15" t="n">
        <v>400</v>
      </c>
      <c r="E15" t="inlineStr">
        <is>
          <t>HYPOTHETICAL</t>
        </is>
      </c>
    </row>
    <row r="17">
      <c r="A17" t="inlineStr">
        <is>
          <t>Peak sales $M</t>
        </is>
      </c>
      <c r="B17">
        <f>B3*B4*B5/1e6</f>
        <v/>
      </c>
      <c r="C17">
        <f>C3*C4*C5/1e6</f>
        <v/>
      </c>
      <c r="D17">
        <f>D3*D4*D5/1e6</f>
        <v/>
      </c>
    </row>
    <row r="19">
      <c r="A19" t="inlineStr">
        <is>
          <t>Year</t>
        </is>
      </c>
      <c r="B19" t="inlineStr">
        <is>
          <t>Base Rev $M</t>
        </is>
      </c>
      <c r="C19" t="inlineStr">
        <is>
          <t>Base R&amp;D cost (prob-wtd)</t>
        </is>
      </c>
      <c r="D19" t="inlineStr">
        <is>
          <t>Base License CF</t>
        </is>
      </c>
      <c r="E19" t="inlineStr">
        <is>
          <t>Base Acq CF</t>
        </is>
      </c>
      <c r="F19" t="inlineStr">
        <is>
          <t>Bear Rev $M</t>
        </is>
      </c>
      <c r="G19" t="inlineStr">
        <is>
          <t>Bear R&amp;D cost (prob-wtd)</t>
        </is>
      </c>
      <c r="H19" t="inlineStr">
        <is>
          <t>Bear License CF</t>
        </is>
      </c>
      <c r="I19" t="inlineStr">
        <is>
          <t>Bear Acq CF</t>
        </is>
      </c>
      <c r="J19" t="inlineStr">
        <is>
          <t>Bull Rev $M</t>
        </is>
      </c>
      <c r="K19" t="inlineStr">
        <is>
          <t>Bull R&amp;D cost (prob-wtd)</t>
        </is>
      </c>
      <c r="L19" t="inlineStr">
        <is>
          <t>Bull License CF</t>
        </is>
      </c>
      <c r="M19" t="inlineStr">
        <is>
          <t>Bull Acq CF</t>
        </is>
      </c>
    </row>
    <row r="20">
      <c r="A20" t="n">
        <v>1</v>
      </c>
      <c r="B20">
        <f>IF(AND(($A20-B$11)&gt;=1,($A20-B$11)&lt;=B$7),B$17*MIN(($A20-B$11)/B$6,1),0)</f>
        <v/>
      </c>
      <c r="C20" t="n">
        <v>60</v>
      </c>
      <c r="D20">
        <f>(-C20+B20*B$10*(B$9-B$12)-IF($A20=B$11,B$13*B$10,0))/(1+B$8)^$A20</f>
        <v/>
      </c>
      <c r="E20">
        <f>(-C20+B20*B$10*B$9)/(1+B$8)^$A20</f>
        <v/>
      </c>
      <c r="F20">
        <f>IF(AND(($A20-C$11)&gt;=1,($A20-C$11)&lt;=C$7),C$17*MIN(($A20-C$11)/C$6,1),0)</f>
        <v/>
      </c>
      <c r="G20" t="n">
        <v>60</v>
      </c>
      <c r="H20">
        <f>(-G20+F20*C$10*(C$9-C$12)-IF($A20=C$11,C$13*C$10,0))/(1+C$8)^$A20</f>
        <v/>
      </c>
      <c r="I20">
        <f>(-G20+F20*C$10*C$9)/(1+C$8)^$A20</f>
        <v/>
      </c>
      <c r="J20">
        <f>IF(AND(($A20-D$11)&gt;=1,($A20-D$11)&lt;=D$7),D$17*MIN(($A20-D$11)/D$6,1),0)</f>
        <v/>
      </c>
      <c r="K20" t="n">
        <v>60</v>
      </c>
      <c r="L20">
        <f>(-K20+J20*D$10*(D$9-D$12)-IF($A20=D$11,D$13*D$10,0))/(1+D$8)^$A20</f>
        <v/>
      </c>
      <c r="M20">
        <f>(-K20+J20*D$10*D$9)/(1+D$8)^$A20</f>
        <v/>
      </c>
    </row>
    <row r="21">
      <c r="A21" t="n">
        <v>2</v>
      </c>
      <c r="B21">
        <f>IF(AND(($A21-B$11)&gt;=1,($A21-B$11)&lt;=B$7),B$17*MIN(($A21-B$11)/B$6,1),0)</f>
        <v/>
      </c>
      <c r="C21" t="n">
        <v>60</v>
      </c>
      <c r="D21">
        <f>(-C21+B21*B$10*(B$9-B$12)-IF($A21=B$11,B$13*B$10,0))/(1+B$8)^$A21</f>
        <v/>
      </c>
      <c r="E21">
        <f>(-C21+B21*B$10*B$9)/(1+B$8)^$A21</f>
        <v/>
      </c>
      <c r="F21">
        <f>IF(AND(($A21-C$11)&gt;=1,($A21-C$11)&lt;=C$7),C$17*MIN(($A21-C$11)/C$6,1),0)</f>
        <v/>
      </c>
      <c r="G21" t="n">
        <v>60</v>
      </c>
      <c r="H21">
        <f>(-G21+F21*C$10*(C$9-C$12)-IF($A21=C$11,C$13*C$10,0))/(1+C$8)^$A21</f>
        <v/>
      </c>
      <c r="I21">
        <f>(-G21+F21*C$10*C$9)/(1+C$8)^$A21</f>
        <v/>
      </c>
      <c r="J21">
        <f>IF(AND(($A21-D$11)&gt;=1,($A21-D$11)&lt;=D$7),D$17*MIN(($A21-D$11)/D$6,1),0)</f>
        <v/>
      </c>
      <c r="K21" t="n">
        <v>60</v>
      </c>
      <c r="L21">
        <f>(-K21+J21*D$10*(D$9-D$12)-IF($A21=D$11,D$13*D$10,0))/(1+D$8)^$A21</f>
        <v/>
      </c>
      <c r="M21">
        <f>(-K21+J21*D$10*D$9)/(1+D$8)^$A21</f>
        <v/>
      </c>
    </row>
    <row r="22">
      <c r="A22" t="n">
        <v>3</v>
      </c>
      <c r="B22">
        <f>IF(AND(($A22-B$11)&gt;=1,($A22-B$11)&lt;=B$7),B$17*MIN(($A22-B$11)/B$6,1),0)</f>
        <v/>
      </c>
      <c r="C22" t="n">
        <v>60</v>
      </c>
      <c r="D22">
        <f>(-C22+B22*B$10*(B$9-B$12)-IF($A22=B$11,B$13*B$10,0))/(1+B$8)^$A22</f>
        <v/>
      </c>
      <c r="E22">
        <f>(-C22+B22*B$10*B$9)/(1+B$8)^$A22</f>
        <v/>
      </c>
      <c r="F22">
        <f>IF(AND(($A22-C$11)&gt;=1,($A22-C$11)&lt;=C$7),C$17*MIN(($A22-C$11)/C$6,1),0)</f>
        <v/>
      </c>
      <c r="G22" t="n">
        <v>60</v>
      </c>
      <c r="H22">
        <f>(-G22+F22*C$10*(C$9-C$12)-IF($A22=C$11,C$13*C$10,0))/(1+C$8)^$A22</f>
        <v/>
      </c>
      <c r="I22">
        <f>(-G22+F22*C$10*C$9)/(1+C$8)^$A22</f>
        <v/>
      </c>
      <c r="J22">
        <f>IF(AND(($A22-D$11)&gt;=1,($A22-D$11)&lt;=D$7),D$17*MIN(($A22-D$11)/D$6,1),0)</f>
        <v/>
      </c>
      <c r="K22" t="n">
        <v>60</v>
      </c>
      <c r="L22">
        <f>(-K22+J22*D$10*(D$9-D$12)-IF($A22=D$11,D$13*D$10,0))/(1+D$8)^$A22</f>
        <v/>
      </c>
      <c r="M22">
        <f>(-K22+J22*D$10*D$9)/(1+D$8)^$A22</f>
        <v/>
      </c>
    </row>
    <row r="23">
      <c r="A23" t="n">
        <v>4</v>
      </c>
      <c r="B23">
        <f>IF(AND(($A23-B$11)&gt;=1,($A23-B$11)&lt;=B$7),B$17*MIN(($A23-B$11)/B$6,1),0)</f>
        <v/>
      </c>
      <c r="C23" t="n">
        <v>10</v>
      </c>
      <c r="D23">
        <f>(-C23+B23*B$10*(B$9-B$12)-IF($A23=B$11,B$13*B$10,0))/(1+B$8)^$A23</f>
        <v/>
      </c>
      <c r="E23">
        <f>(-C23+B23*B$10*B$9)/(1+B$8)^$A23</f>
        <v/>
      </c>
      <c r="F23">
        <f>IF(AND(($A23-C$11)&gt;=1,($A23-C$11)&lt;=C$7),C$17*MIN(($A23-C$11)/C$6,1),0)</f>
        <v/>
      </c>
      <c r="G23" t="n">
        <v>8</v>
      </c>
      <c r="H23">
        <f>(-G23+F23*C$10*(C$9-C$12)-IF($A23=C$11,C$13*C$10,0))/(1+C$8)^$A23</f>
        <v/>
      </c>
      <c r="I23">
        <f>(-G23+F23*C$10*C$9)/(1+C$8)^$A23</f>
        <v/>
      </c>
      <c r="J23">
        <f>IF(AND(($A23-D$11)&gt;=1,($A23-D$11)&lt;=D$7),D$17*MIN(($A23-D$11)/D$6,1),0)</f>
        <v/>
      </c>
      <c r="K23" t="n">
        <v>10</v>
      </c>
      <c r="L23">
        <f>(-K23+J23*D$10*(D$9-D$12)-IF($A23=D$11,D$13*D$10,0))/(1+D$8)^$A23</f>
        <v/>
      </c>
      <c r="M23">
        <f>(-K23+J23*D$10*D$9)/(1+D$8)^$A23</f>
        <v/>
      </c>
    </row>
    <row r="24">
      <c r="A24" t="n">
        <v>5</v>
      </c>
      <c r="B24">
        <f>IF(AND(($A24-B$11)&gt;=1,($A24-B$11)&lt;=B$7),B$17*MIN(($A24-B$11)/B$6,1),0)</f>
        <v/>
      </c>
      <c r="C24" t="n">
        <v>0</v>
      </c>
      <c r="D24">
        <f>(-C24+B24*B$10*(B$9-B$12)-IF($A24=B$11,B$13*B$10,0))/(1+B$8)^$A24</f>
        <v/>
      </c>
      <c r="E24">
        <f>(-C24+B24*B$10*B$9)/(1+B$8)^$A24</f>
        <v/>
      </c>
      <c r="F24">
        <f>IF(AND(($A24-C$11)&gt;=1,($A24-C$11)&lt;=C$7),C$17*MIN(($A24-C$11)/C$6,1),0)</f>
        <v/>
      </c>
      <c r="G24" t="n">
        <v>0</v>
      </c>
      <c r="H24">
        <f>(-G24+F24*C$10*(C$9-C$12)-IF($A24=C$11,C$13*C$10,0))/(1+C$8)^$A24</f>
        <v/>
      </c>
      <c r="I24">
        <f>(-G24+F24*C$10*C$9)/(1+C$8)^$A24</f>
        <v/>
      </c>
      <c r="J24">
        <f>IF(AND(($A24-D$11)&gt;=1,($A24-D$11)&lt;=D$7),D$17*MIN(($A24-D$11)/D$6,1),0)</f>
        <v/>
      </c>
      <c r="K24" t="n">
        <v>0</v>
      </c>
      <c r="L24">
        <f>(-K24+J24*D$10*(D$9-D$12)-IF($A24=D$11,D$13*D$10,0))/(1+D$8)^$A24</f>
        <v/>
      </c>
      <c r="M24">
        <f>(-K24+J24*D$10*D$9)/(1+D$8)^$A24</f>
        <v/>
      </c>
    </row>
    <row r="25">
      <c r="A25" t="n">
        <v>6</v>
      </c>
      <c r="B25">
        <f>IF(AND(($A25-B$11)&gt;=1,($A25-B$11)&lt;=B$7),B$17*MIN(($A25-B$11)/B$6,1),0)</f>
        <v/>
      </c>
      <c r="C25" t="n">
        <v>0</v>
      </c>
      <c r="D25">
        <f>(-C25+B25*B$10*(B$9-B$12)-IF($A25=B$11,B$13*B$10,0))/(1+B$8)^$A25</f>
        <v/>
      </c>
      <c r="E25">
        <f>(-C25+B25*B$10*B$9)/(1+B$8)^$A25</f>
        <v/>
      </c>
      <c r="F25">
        <f>IF(AND(($A25-C$11)&gt;=1,($A25-C$11)&lt;=C$7),C$17*MIN(($A25-C$11)/C$6,1),0)</f>
        <v/>
      </c>
      <c r="G25" t="n">
        <v>0</v>
      </c>
      <c r="H25">
        <f>(-G25+F25*C$10*(C$9-C$12)-IF($A25=C$11,C$13*C$10,0))/(1+C$8)^$A25</f>
        <v/>
      </c>
      <c r="I25">
        <f>(-G25+F25*C$10*C$9)/(1+C$8)^$A25</f>
        <v/>
      </c>
      <c r="J25">
        <f>IF(AND(($A25-D$11)&gt;=1,($A25-D$11)&lt;=D$7),D$17*MIN(($A25-D$11)/D$6,1),0)</f>
        <v/>
      </c>
      <c r="K25" t="n">
        <v>0</v>
      </c>
      <c r="L25">
        <f>(-K25+J25*D$10*(D$9-D$12)-IF($A25=D$11,D$13*D$10,0))/(1+D$8)^$A25</f>
        <v/>
      </c>
      <c r="M25">
        <f>(-K25+J25*D$10*D$9)/(1+D$8)^$A25</f>
        <v/>
      </c>
    </row>
    <row r="26">
      <c r="A26" t="n">
        <v>7</v>
      </c>
      <c r="B26">
        <f>IF(AND(($A26-B$11)&gt;=1,($A26-B$11)&lt;=B$7),B$17*MIN(($A26-B$11)/B$6,1),0)</f>
        <v/>
      </c>
      <c r="C26" t="n">
        <v>0</v>
      </c>
      <c r="D26">
        <f>(-C26+B26*B$10*(B$9-B$12)-IF($A26=B$11,B$13*B$10,0))/(1+B$8)^$A26</f>
        <v/>
      </c>
      <c r="E26">
        <f>(-C26+B26*B$10*B$9)/(1+B$8)^$A26</f>
        <v/>
      </c>
      <c r="F26">
        <f>IF(AND(($A26-C$11)&gt;=1,($A26-C$11)&lt;=C$7),C$17*MIN(($A26-C$11)/C$6,1),0)</f>
        <v/>
      </c>
      <c r="G26" t="n">
        <v>0</v>
      </c>
      <c r="H26">
        <f>(-G26+F26*C$10*(C$9-C$12)-IF($A26=C$11,C$13*C$10,0))/(1+C$8)^$A26</f>
        <v/>
      </c>
      <c r="I26">
        <f>(-G26+F26*C$10*C$9)/(1+C$8)^$A26</f>
        <v/>
      </c>
      <c r="J26">
        <f>IF(AND(($A26-D$11)&gt;=1,($A26-D$11)&lt;=D$7),D$17*MIN(($A26-D$11)/D$6,1),0)</f>
        <v/>
      </c>
      <c r="K26" t="n">
        <v>0</v>
      </c>
      <c r="L26">
        <f>(-K26+J26*D$10*(D$9-D$12)-IF($A26=D$11,D$13*D$10,0))/(1+D$8)^$A26</f>
        <v/>
      </c>
      <c r="M26">
        <f>(-K26+J26*D$10*D$9)/(1+D$8)^$A26</f>
        <v/>
      </c>
    </row>
    <row r="27">
      <c r="A27" t="n">
        <v>8</v>
      </c>
      <c r="B27">
        <f>IF(AND(($A27-B$11)&gt;=1,($A27-B$11)&lt;=B$7),B$17*MIN(($A27-B$11)/B$6,1),0)</f>
        <v/>
      </c>
      <c r="C27" t="n">
        <v>0</v>
      </c>
      <c r="D27">
        <f>(-C27+B27*B$10*(B$9-B$12)-IF($A27=B$11,B$13*B$10,0))/(1+B$8)^$A27</f>
        <v/>
      </c>
      <c r="E27">
        <f>(-C27+B27*B$10*B$9)/(1+B$8)^$A27</f>
        <v/>
      </c>
      <c r="F27">
        <f>IF(AND(($A27-C$11)&gt;=1,($A27-C$11)&lt;=C$7),C$17*MIN(($A27-C$11)/C$6,1),0)</f>
        <v/>
      </c>
      <c r="G27" t="n">
        <v>0</v>
      </c>
      <c r="H27">
        <f>(-G27+F27*C$10*(C$9-C$12)-IF($A27=C$11,C$13*C$10,0))/(1+C$8)^$A27</f>
        <v/>
      </c>
      <c r="I27">
        <f>(-G27+F27*C$10*C$9)/(1+C$8)^$A27</f>
        <v/>
      </c>
      <c r="J27">
        <f>IF(AND(($A27-D$11)&gt;=1,($A27-D$11)&lt;=D$7),D$17*MIN(($A27-D$11)/D$6,1),0)</f>
        <v/>
      </c>
      <c r="K27" t="n">
        <v>0</v>
      </c>
      <c r="L27">
        <f>(-K27+J27*D$10*(D$9-D$12)-IF($A27=D$11,D$13*D$10,0))/(1+D$8)^$A27</f>
        <v/>
      </c>
      <c r="M27">
        <f>(-K27+J27*D$10*D$9)/(1+D$8)^$A27</f>
        <v/>
      </c>
    </row>
    <row r="28">
      <c r="A28" t="n">
        <v>9</v>
      </c>
      <c r="B28">
        <f>IF(AND(($A28-B$11)&gt;=1,($A28-B$11)&lt;=B$7),B$17*MIN(($A28-B$11)/B$6,1),0)</f>
        <v/>
      </c>
      <c r="C28" t="n">
        <v>0</v>
      </c>
      <c r="D28">
        <f>(-C28+B28*B$10*(B$9-B$12)-IF($A28=B$11,B$13*B$10,0))/(1+B$8)^$A28</f>
        <v/>
      </c>
      <c r="E28">
        <f>(-C28+B28*B$10*B$9)/(1+B$8)^$A28</f>
        <v/>
      </c>
      <c r="F28">
        <f>IF(AND(($A28-C$11)&gt;=1,($A28-C$11)&lt;=C$7),C$17*MIN(($A28-C$11)/C$6,1),0)</f>
        <v/>
      </c>
      <c r="G28" t="n">
        <v>0</v>
      </c>
      <c r="H28">
        <f>(-G28+F28*C$10*(C$9-C$12)-IF($A28=C$11,C$13*C$10,0))/(1+C$8)^$A28</f>
        <v/>
      </c>
      <c r="I28">
        <f>(-G28+F28*C$10*C$9)/(1+C$8)^$A28</f>
        <v/>
      </c>
      <c r="J28">
        <f>IF(AND(($A28-D$11)&gt;=1,($A28-D$11)&lt;=D$7),D$17*MIN(($A28-D$11)/D$6,1),0)</f>
        <v/>
      </c>
      <c r="K28" t="n">
        <v>0</v>
      </c>
      <c r="L28">
        <f>(-K28+J28*D$10*(D$9-D$12)-IF($A28=D$11,D$13*D$10,0))/(1+D$8)^$A28</f>
        <v/>
      </c>
      <c r="M28">
        <f>(-K28+J28*D$10*D$9)/(1+D$8)^$A28</f>
        <v/>
      </c>
    </row>
    <row r="29">
      <c r="A29" t="n">
        <v>10</v>
      </c>
      <c r="B29">
        <f>IF(AND(($A29-B$11)&gt;=1,($A29-B$11)&lt;=B$7),B$17*MIN(($A29-B$11)/B$6,1),0)</f>
        <v/>
      </c>
      <c r="C29" t="n">
        <v>0</v>
      </c>
      <c r="D29">
        <f>(-C29+B29*B$10*(B$9-B$12)-IF($A29=B$11,B$13*B$10,0))/(1+B$8)^$A29</f>
        <v/>
      </c>
      <c r="E29">
        <f>(-C29+B29*B$10*B$9)/(1+B$8)^$A29</f>
        <v/>
      </c>
      <c r="F29">
        <f>IF(AND(($A29-C$11)&gt;=1,($A29-C$11)&lt;=C$7),C$17*MIN(($A29-C$11)/C$6,1),0)</f>
        <v/>
      </c>
      <c r="G29" t="n">
        <v>0</v>
      </c>
      <c r="H29">
        <f>(-G29+F29*C$10*(C$9-C$12)-IF($A29=C$11,C$13*C$10,0))/(1+C$8)^$A29</f>
        <v/>
      </c>
      <c r="I29">
        <f>(-G29+F29*C$10*C$9)/(1+C$8)^$A29</f>
        <v/>
      </c>
      <c r="J29">
        <f>IF(AND(($A29-D$11)&gt;=1,($A29-D$11)&lt;=D$7),D$17*MIN(($A29-D$11)/D$6,1),0)</f>
        <v/>
      </c>
      <c r="K29" t="n">
        <v>0</v>
      </c>
      <c r="L29">
        <f>(-K29+J29*D$10*(D$9-D$12)-IF($A29=D$11,D$13*D$10,0))/(1+D$8)^$A29</f>
        <v/>
      </c>
      <c r="M29">
        <f>(-K29+J29*D$10*D$9)/(1+D$8)^$A29</f>
        <v/>
      </c>
    </row>
    <row r="30">
      <c r="A30" t="n">
        <v>11</v>
      </c>
      <c r="B30">
        <f>IF(AND(($A30-B$11)&gt;=1,($A30-B$11)&lt;=B$7),B$17*MIN(($A30-B$11)/B$6,1),0)</f>
        <v/>
      </c>
      <c r="C30" t="n">
        <v>0</v>
      </c>
      <c r="D30">
        <f>(-C30+B30*B$10*(B$9-B$12)-IF($A30=B$11,B$13*B$10,0))/(1+B$8)^$A30</f>
        <v/>
      </c>
      <c r="E30">
        <f>(-C30+B30*B$10*B$9)/(1+B$8)^$A30</f>
        <v/>
      </c>
      <c r="F30">
        <f>IF(AND(($A30-C$11)&gt;=1,($A30-C$11)&lt;=C$7),C$17*MIN(($A30-C$11)/C$6,1),0)</f>
        <v/>
      </c>
      <c r="G30" t="n">
        <v>0</v>
      </c>
      <c r="H30">
        <f>(-G30+F30*C$10*(C$9-C$12)-IF($A30=C$11,C$13*C$10,0))/(1+C$8)^$A30</f>
        <v/>
      </c>
      <c r="I30">
        <f>(-G30+F30*C$10*C$9)/(1+C$8)^$A30</f>
        <v/>
      </c>
      <c r="J30">
        <f>IF(AND(($A30-D$11)&gt;=1,($A30-D$11)&lt;=D$7),D$17*MIN(($A30-D$11)/D$6,1),0)</f>
        <v/>
      </c>
      <c r="K30" t="n">
        <v>0</v>
      </c>
      <c r="L30">
        <f>(-K30+J30*D$10*(D$9-D$12)-IF($A30=D$11,D$13*D$10,0))/(1+D$8)^$A30</f>
        <v/>
      </c>
      <c r="M30">
        <f>(-K30+J30*D$10*D$9)/(1+D$8)^$A30</f>
        <v/>
      </c>
    </row>
    <row r="31">
      <c r="A31" t="n">
        <v>12</v>
      </c>
      <c r="B31">
        <f>IF(AND(($A31-B$11)&gt;=1,($A31-B$11)&lt;=B$7),B$17*MIN(($A31-B$11)/B$6,1),0)</f>
        <v/>
      </c>
      <c r="C31" t="n">
        <v>0</v>
      </c>
      <c r="D31">
        <f>(-C31+B31*B$10*(B$9-B$12)-IF($A31=B$11,B$13*B$10,0))/(1+B$8)^$A31</f>
        <v/>
      </c>
      <c r="E31">
        <f>(-C31+B31*B$10*B$9)/(1+B$8)^$A31</f>
        <v/>
      </c>
      <c r="F31">
        <f>IF(AND(($A31-C$11)&gt;=1,($A31-C$11)&lt;=C$7),C$17*MIN(($A31-C$11)/C$6,1),0)</f>
        <v/>
      </c>
      <c r="G31" t="n">
        <v>0</v>
      </c>
      <c r="H31">
        <f>(-G31+F31*C$10*(C$9-C$12)-IF($A31=C$11,C$13*C$10,0))/(1+C$8)^$A31</f>
        <v/>
      </c>
      <c r="I31">
        <f>(-G31+F31*C$10*C$9)/(1+C$8)^$A31</f>
        <v/>
      </c>
      <c r="J31">
        <f>IF(AND(($A31-D$11)&gt;=1,($A31-D$11)&lt;=D$7),D$17*MIN(($A31-D$11)/D$6,1),0)</f>
        <v/>
      </c>
      <c r="K31" t="n">
        <v>0</v>
      </c>
      <c r="L31">
        <f>(-K31+J31*D$10*(D$9-D$12)-IF($A31=D$11,D$13*D$10,0))/(1+D$8)^$A31</f>
        <v/>
      </c>
      <c r="M31">
        <f>(-K31+J31*D$10*D$9)/(1+D$8)^$A31</f>
        <v/>
      </c>
    </row>
    <row r="32">
      <c r="A32" t="n">
        <v>13</v>
      </c>
      <c r="B32">
        <f>IF(AND(($A32-B$11)&gt;=1,($A32-B$11)&lt;=B$7),B$17*MIN(($A32-B$11)/B$6,1),0)</f>
        <v/>
      </c>
      <c r="C32" t="n">
        <v>0</v>
      </c>
      <c r="D32">
        <f>(-C32+B32*B$10*(B$9-B$12)-IF($A32=B$11,B$13*B$10,0))/(1+B$8)^$A32</f>
        <v/>
      </c>
      <c r="E32">
        <f>(-C32+B32*B$10*B$9)/(1+B$8)^$A32</f>
        <v/>
      </c>
      <c r="F32">
        <f>IF(AND(($A32-C$11)&gt;=1,($A32-C$11)&lt;=C$7),C$17*MIN(($A32-C$11)/C$6,1),0)</f>
        <v/>
      </c>
      <c r="G32" t="n">
        <v>0</v>
      </c>
      <c r="H32">
        <f>(-G32+F32*C$10*(C$9-C$12)-IF($A32=C$11,C$13*C$10,0))/(1+C$8)^$A32</f>
        <v/>
      </c>
      <c r="I32">
        <f>(-G32+F32*C$10*C$9)/(1+C$8)^$A32</f>
        <v/>
      </c>
      <c r="J32">
        <f>IF(AND(($A32-D$11)&gt;=1,($A32-D$11)&lt;=D$7),D$17*MIN(($A32-D$11)/D$6,1),0)</f>
        <v/>
      </c>
      <c r="K32" t="n">
        <v>0</v>
      </c>
      <c r="L32">
        <f>(-K32+J32*D$10*(D$9-D$12)-IF($A32=D$11,D$13*D$10,0))/(1+D$8)^$A32</f>
        <v/>
      </c>
      <c r="M32">
        <f>(-K32+J32*D$10*D$9)/(1+D$8)^$A32</f>
        <v/>
      </c>
    </row>
    <row r="33">
      <c r="A33" t="n">
        <v>14</v>
      </c>
      <c r="B33">
        <f>IF(AND(($A33-B$11)&gt;=1,($A33-B$11)&lt;=B$7),B$17*MIN(($A33-B$11)/B$6,1),0)</f>
        <v/>
      </c>
      <c r="C33" t="n">
        <v>0</v>
      </c>
      <c r="D33">
        <f>(-C33+B33*B$10*(B$9-B$12)-IF($A33=B$11,B$13*B$10,0))/(1+B$8)^$A33</f>
        <v/>
      </c>
      <c r="E33">
        <f>(-C33+B33*B$10*B$9)/(1+B$8)^$A33</f>
        <v/>
      </c>
      <c r="F33">
        <f>IF(AND(($A33-C$11)&gt;=1,($A33-C$11)&lt;=C$7),C$17*MIN(($A33-C$11)/C$6,1),0)</f>
        <v/>
      </c>
      <c r="G33" t="n">
        <v>0</v>
      </c>
      <c r="H33">
        <f>(-G33+F33*C$10*(C$9-C$12)-IF($A33=C$11,C$13*C$10,0))/(1+C$8)^$A33</f>
        <v/>
      </c>
      <c r="I33">
        <f>(-G33+F33*C$10*C$9)/(1+C$8)^$A33</f>
        <v/>
      </c>
      <c r="J33">
        <f>IF(AND(($A33-D$11)&gt;=1,($A33-D$11)&lt;=D$7),D$17*MIN(($A33-D$11)/D$6,1),0)</f>
        <v/>
      </c>
      <c r="K33" t="n">
        <v>0</v>
      </c>
      <c r="L33">
        <f>(-K33+J33*D$10*(D$9-D$12)-IF($A33=D$11,D$13*D$10,0))/(1+D$8)^$A33</f>
        <v/>
      </c>
      <c r="M33">
        <f>(-K33+J33*D$10*D$9)/(1+D$8)^$A33</f>
        <v/>
      </c>
    </row>
    <row r="34">
      <c r="A34" t="n">
        <v>15</v>
      </c>
      <c r="B34">
        <f>IF(AND(($A34-B$11)&gt;=1,($A34-B$11)&lt;=B$7),B$17*MIN(($A34-B$11)/B$6,1),0)</f>
        <v/>
      </c>
      <c r="C34" t="n">
        <v>0</v>
      </c>
      <c r="D34">
        <f>(-C34+B34*B$10*(B$9-B$12)-IF($A34=B$11,B$13*B$10,0))/(1+B$8)^$A34</f>
        <v/>
      </c>
      <c r="E34">
        <f>(-C34+B34*B$10*B$9)/(1+B$8)^$A34</f>
        <v/>
      </c>
      <c r="F34">
        <f>IF(AND(($A34-C$11)&gt;=1,($A34-C$11)&lt;=C$7),C$17*MIN(($A34-C$11)/C$6,1),0)</f>
        <v/>
      </c>
      <c r="G34" t="n">
        <v>0</v>
      </c>
      <c r="H34">
        <f>(-G34+F34*C$10*(C$9-C$12)-IF($A34=C$11,C$13*C$10,0))/(1+C$8)^$A34</f>
        <v/>
      </c>
      <c r="I34">
        <f>(-G34+F34*C$10*C$9)/(1+C$8)^$A34</f>
        <v/>
      </c>
      <c r="J34">
        <f>IF(AND(($A34-D$11)&gt;=1,($A34-D$11)&lt;=D$7),D$17*MIN(($A34-D$11)/D$6,1),0)</f>
        <v/>
      </c>
      <c r="K34" t="n">
        <v>0</v>
      </c>
      <c r="L34">
        <f>(-K34+J34*D$10*(D$9-D$12)-IF($A34=D$11,D$13*D$10,0))/(1+D$8)^$A34</f>
        <v/>
      </c>
      <c r="M34">
        <f>(-K34+J34*D$10*D$9)/(1+D$8)^$A34</f>
        <v/>
      </c>
    </row>
    <row r="35">
      <c r="A35" t="n">
        <v>16</v>
      </c>
      <c r="B35">
        <f>IF(AND(($A35-B$11)&gt;=1,($A35-B$11)&lt;=B$7),B$17*MIN(($A35-B$11)/B$6,1),0)</f>
        <v/>
      </c>
      <c r="C35" t="n">
        <v>0</v>
      </c>
      <c r="D35">
        <f>(-C35+B35*B$10*(B$9-B$12)-IF($A35=B$11,B$13*B$10,0))/(1+B$8)^$A35</f>
        <v/>
      </c>
      <c r="E35">
        <f>(-C35+B35*B$10*B$9)/(1+B$8)^$A35</f>
        <v/>
      </c>
      <c r="F35">
        <f>IF(AND(($A35-C$11)&gt;=1,($A35-C$11)&lt;=C$7),C$17*MIN(($A35-C$11)/C$6,1),0)</f>
        <v/>
      </c>
      <c r="G35" t="n">
        <v>0</v>
      </c>
      <c r="H35">
        <f>(-G35+F35*C$10*(C$9-C$12)-IF($A35=C$11,C$13*C$10,0))/(1+C$8)^$A35</f>
        <v/>
      </c>
      <c r="I35">
        <f>(-G35+F35*C$10*C$9)/(1+C$8)^$A35</f>
        <v/>
      </c>
      <c r="J35">
        <f>IF(AND(($A35-D$11)&gt;=1,($A35-D$11)&lt;=D$7),D$17*MIN(($A35-D$11)/D$6,1),0)</f>
        <v/>
      </c>
      <c r="K35" t="n">
        <v>0</v>
      </c>
      <c r="L35">
        <f>(-K35+J35*D$10*(D$9-D$12)-IF($A35=D$11,D$13*D$10,0))/(1+D$8)^$A35</f>
        <v/>
      </c>
      <c r="M35">
        <f>(-K35+J35*D$10*D$9)/(1+D$8)^$A35</f>
        <v/>
      </c>
    </row>
    <row r="37">
      <c r="A37" t="inlineStr">
        <is>
          <t>rNPV licence ($M) = sum(disc CF) - upfront</t>
        </is>
      </c>
      <c r="B37">
        <f>SUM(D20:D35)-B14</f>
        <v/>
      </c>
      <c r="C37">
        <f>SUM(H20:H35)-C14</f>
        <v/>
      </c>
      <c r="D37">
        <f>SUM(L20:L35)-D14</f>
        <v/>
      </c>
      <c r="E37" t="inlineStr">
        <is>
          <t>(columns B/C/D = Base/Bear/Bull)</t>
        </is>
      </c>
    </row>
    <row r="38">
      <c r="A38" t="inlineStr">
        <is>
          <t>rNPV acquisition ($M) = sum(disc CF) - upfront</t>
        </is>
      </c>
      <c r="B38">
        <f>SUM(E20:E35)-B15</f>
        <v/>
      </c>
      <c r="C38">
        <f>SUM(I20:I35)-C15</f>
        <v/>
      </c>
      <c r="D38">
        <f>SUM(M20:M35)-D15</f>
        <v/>
      </c>
    </row>
    <row r="40">
      <c r="A40" t="inlineStr">
        <is>
          <t>License vs acquisition: buyer perspective. Licence keeps upfront low but royalty+milestones cut value; acquisition only makes sense if seller owns ex-China/global rights outright. Availability NOT evidenced for any program.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ATG-022 (CL-16) buyer-perspective rNPV, $M. ALL INPUTS HYPOTHETICAL (protocol placeholders) or ANALYST ASSUMPTION. Not a sourced valuation.</t>
        </is>
      </c>
    </row>
    <row r="2">
      <c r="A2" t="inlineStr">
        <is>
          <t>Input</t>
        </is>
      </c>
      <c r="B2" t="inlineStr">
        <is>
          <t>Base</t>
        </is>
      </c>
      <c r="C2" t="inlineStr">
        <is>
          <t>Bear</t>
        </is>
      </c>
      <c r="D2" t="inlineStr">
        <is>
          <t>Bull</t>
        </is>
      </c>
      <c r="E2" t="inlineStr">
        <is>
          <t>Label</t>
        </is>
      </c>
    </row>
    <row r="3">
      <c r="A3" t="inlineStr">
        <is>
          <t>Addressable patients</t>
        </is>
      </c>
      <c r="B3" t="n">
        <v>6000</v>
      </c>
      <c r="C3" t="n">
        <v>6000</v>
      </c>
      <c r="D3" t="n">
        <v>6000</v>
      </c>
      <c r="E3" t="inlineStr">
        <is>
          <t>HYPOTHETICAL</t>
        </is>
      </c>
    </row>
    <row r="4">
      <c r="A4" t="inlineStr">
        <is>
          <t>Net price $</t>
        </is>
      </c>
      <c r="B4" t="n">
        <v>150000</v>
      </c>
      <c r="C4" t="n">
        <v>150000</v>
      </c>
      <c r="D4" t="n">
        <v>150000</v>
      </c>
      <c r="E4" t="inlineStr">
        <is>
          <t>HYPOTHETICAL</t>
        </is>
      </c>
    </row>
    <row r="5">
      <c r="A5" t="inlineStr">
        <is>
          <t>Peak penetration</t>
        </is>
      </c>
      <c r="B5" t="n">
        <v>0.15</v>
      </c>
      <c r="C5" t="n">
        <v>0.075</v>
      </c>
      <c r="D5" t="n">
        <v>0.225</v>
      </c>
      <c r="E5" t="inlineStr">
        <is>
          <t>HYPOTHETICAL x scenario mult (ANALYST: bear 0.5x, bull 1.5x)</t>
        </is>
      </c>
    </row>
    <row r="6">
      <c r="A6" t="inlineStr">
        <is>
          <t>Years to peak</t>
        </is>
      </c>
      <c r="B6" t="n">
        <v>5</v>
      </c>
      <c r="C6" t="n">
        <v>5</v>
      </c>
      <c r="D6" t="n">
        <v>5</v>
      </c>
      <c r="E6" t="inlineStr">
        <is>
          <t>HYPOTHETICAL</t>
        </is>
      </c>
    </row>
    <row r="7">
      <c r="A7" t="inlineStr">
        <is>
          <t>Patent life yrs from launch</t>
        </is>
      </c>
      <c r="B7" t="n">
        <v>12</v>
      </c>
      <c r="C7" t="n">
        <v>12</v>
      </c>
      <c r="D7" t="n">
        <v>12</v>
      </c>
      <c r="E7" t="inlineStr">
        <is>
          <t>HYPOTHETICAL</t>
        </is>
      </c>
    </row>
    <row r="8">
      <c r="A8" t="inlineStr">
        <is>
          <t>Discount rate</t>
        </is>
      </c>
      <c r="B8" t="n">
        <v>0.1</v>
      </c>
      <c r="C8" t="n">
        <v>0.1</v>
      </c>
      <c r="D8" t="n">
        <v>0.1</v>
      </c>
      <c r="E8" t="inlineStr">
        <is>
          <t>HYPOTHETICAL</t>
        </is>
      </c>
    </row>
    <row r="9">
      <c r="A9" t="inlineStr">
        <is>
          <t>Operating margin on sales</t>
        </is>
      </c>
      <c r="B9" t="n">
        <v>0.4</v>
      </c>
      <c r="C9" t="n">
        <v>0.4</v>
      </c>
      <c r="D9" t="n">
        <v>0.4</v>
      </c>
      <c r="E9" t="inlineStr">
        <is>
          <t>ANALYST ASSUMPTION</t>
        </is>
      </c>
    </row>
    <row r="10">
      <c r="A10" t="inlineStr">
        <is>
          <t>Cumulative PoS to approval</t>
        </is>
      </c>
      <c r="B10" t="n">
        <v>0.45</v>
      </c>
      <c r="C10" t="n">
        <v>0.288</v>
      </c>
      <c r="D10" t="n">
        <v>0.45</v>
      </c>
      <c r="E10" t="inlineStr">
        <is>
          <t>HYPOTHETICAL phase PoS product (bear: each x0.8, ANALYST)</t>
        </is>
      </c>
    </row>
    <row r="11">
      <c r="A11" t="inlineStr">
        <is>
          <t>Years to launch</t>
        </is>
      </c>
      <c r="B11" t="n">
        <v>4</v>
      </c>
      <c r="C11" t="n">
        <v>4</v>
      </c>
      <c r="D11" t="n">
        <v>4</v>
      </c>
      <c r="E11" t="inlineStr">
        <is>
          <t>HYPOTHETICAL durations</t>
        </is>
      </c>
    </row>
    <row r="12">
      <c r="A12" t="inlineStr">
        <is>
          <t>Licence royalty</t>
        </is>
      </c>
      <c r="B12" t="n">
        <v>0.12</v>
      </c>
      <c r="C12" t="n">
        <v>0.12</v>
      </c>
      <c r="D12" t="n">
        <v>0.12</v>
      </c>
      <c r="E12" t="inlineStr">
        <is>
          <t>HYPOTHETICAL</t>
        </is>
      </c>
    </row>
    <row r="13">
      <c r="A13" t="inlineStr">
        <is>
          <t>Licence milestones (at launch)</t>
        </is>
      </c>
      <c r="B13" t="n">
        <v>500</v>
      </c>
      <c r="C13" t="n">
        <v>500</v>
      </c>
      <c r="D13" t="n">
        <v>500</v>
      </c>
      <c r="E13" t="inlineStr">
        <is>
          <t>HYPOTHETICAL; ANALYST: all paid at launch</t>
        </is>
      </c>
    </row>
    <row r="14">
      <c r="A14" t="inlineStr">
        <is>
          <t>Licence upfront</t>
        </is>
      </c>
      <c r="B14" t="n">
        <v>100</v>
      </c>
      <c r="C14" t="n">
        <v>100</v>
      </c>
      <c r="D14" t="n">
        <v>100</v>
      </c>
      <c r="E14" t="inlineStr">
        <is>
          <t>HYPOTHETICAL</t>
        </is>
      </c>
    </row>
    <row r="15">
      <c r="A15" t="inlineStr">
        <is>
          <t>Acquisition upfront</t>
        </is>
      </c>
      <c r="B15" t="n">
        <v>400</v>
      </c>
      <c r="C15" t="n">
        <v>400</v>
      </c>
      <c r="D15" t="n">
        <v>400</v>
      </c>
      <c r="E15" t="inlineStr">
        <is>
          <t>HYPOTHETICAL</t>
        </is>
      </c>
    </row>
    <row r="17">
      <c r="A17" t="inlineStr">
        <is>
          <t>Peak sales $M</t>
        </is>
      </c>
      <c r="B17">
        <f>B3*B4*B5/1e6</f>
        <v/>
      </c>
      <c r="C17">
        <f>C3*C4*C5/1e6</f>
        <v/>
      </c>
      <c r="D17">
        <f>D3*D4*D5/1e6</f>
        <v/>
      </c>
    </row>
    <row r="19">
      <c r="A19" t="inlineStr">
        <is>
          <t>Year</t>
        </is>
      </c>
      <c r="B19" t="inlineStr">
        <is>
          <t>Base Rev $M</t>
        </is>
      </c>
      <c r="C19" t="inlineStr">
        <is>
          <t>Base R&amp;D cost (prob-wtd)</t>
        </is>
      </c>
      <c r="D19" t="inlineStr">
        <is>
          <t>Base License CF</t>
        </is>
      </c>
      <c r="E19" t="inlineStr">
        <is>
          <t>Base Acq CF</t>
        </is>
      </c>
      <c r="F19" t="inlineStr">
        <is>
          <t>Bear Rev $M</t>
        </is>
      </c>
      <c r="G19" t="inlineStr">
        <is>
          <t>Bear R&amp;D cost (prob-wtd)</t>
        </is>
      </c>
      <c r="H19" t="inlineStr">
        <is>
          <t>Bear License CF</t>
        </is>
      </c>
      <c r="I19" t="inlineStr">
        <is>
          <t>Bear Acq CF</t>
        </is>
      </c>
      <c r="J19" t="inlineStr">
        <is>
          <t>Bull Rev $M</t>
        </is>
      </c>
      <c r="K19" t="inlineStr">
        <is>
          <t>Bull R&amp;D cost (prob-wtd)</t>
        </is>
      </c>
      <c r="L19" t="inlineStr">
        <is>
          <t>Bull License CF</t>
        </is>
      </c>
      <c r="M19" t="inlineStr">
        <is>
          <t>Bull Acq CF</t>
        </is>
      </c>
    </row>
    <row r="20">
      <c r="A20" t="n">
        <v>1</v>
      </c>
      <c r="B20">
        <f>IF(AND(($A20-B$11)&gt;=1,($A20-B$11)&lt;=B$7),B$17*MIN(($A20-B$11)/B$6,1),0)</f>
        <v/>
      </c>
      <c r="C20" t="n">
        <v>60</v>
      </c>
      <c r="D20">
        <f>(-C20+B20*B$10*(B$9-B$12)-IF($A20=B$11,B$13*B$10,0))/(1+B$8)^$A20</f>
        <v/>
      </c>
      <c r="E20">
        <f>(-C20+B20*B$10*B$9)/(1+B$8)^$A20</f>
        <v/>
      </c>
      <c r="F20">
        <f>IF(AND(($A20-C$11)&gt;=1,($A20-C$11)&lt;=C$7),C$17*MIN(($A20-C$11)/C$6,1),0)</f>
        <v/>
      </c>
      <c r="G20" t="n">
        <v>60</v>
      </c>
      <c r="H20">
        <f>(-G20+F20*C$10*(C$9-C$12)-IF($A20=C$11,C$13*C$10,0))/(1+C$8)^$A20</f>
        <v/>
      </c>
      <c r="I20">
        <f>(-G20+F20*C$10*C$9)/(1+C$8)^$A20</f>
        <v/>
      </c>
      <c r="J20">
        <f>IF(AND(($A20-D$11)&gt;=1,($A20-D$11)&lt;=D$7),D$17*MIN(($A20-D$11)/D$6,1),0)</f>
        <v/>
      </c>
      <c r="K20" t="n">
        <v>60</v>
      </c>
      <c r="L20">
        <f>(-K20+J20*D$10*(D$9-D$12)-IF($A20=D$11,D$13*D$10,0))/(1+D$8)^$A20</f>
        <v/>
      </c>
      <c r="M20">
        <f>(-K20+J20*D$10*D$9)/(1+D$8)^$A20</f>
        <v/>
      </c>
    </row>
    <row r="21">
      <c r="A21" t="n">
        <v>2</v>
      </c>
      <c r="B21">
        <f>IF(AND(($A21-B$11)&gt;=1,($A21-B$11)&lt;=B$7),B$17*MIN(($A21-B$11)/B$6,1),0)</f>
        <v/>
      </c>
      <c r="C21" t="n">
        <v>60</v>
      </c>
      <c r="D21">
        <f>(-C21+B21*B$10*(B$9-B$12)-IF($A21=B$11,B$13*B$10,0))/(1+B$8)^$A21</f>
        <v/>
      </c>
      <c r="E21">
        <f>(-C21+B21*B$10*B$9)/(1+B$8)^$A21</f>
        <v/>
      </c>
      <c r="F21">
        <f>IF(AND(($A21-C$11)&gt;=1,($A21-C$11)&lt;=C$7),C$17*MIN(($A21-C$11)/C$6,1),0)</f>
        <v/>
      </c>
      <c r="G21" t="n">
        <v>60</v>
      </c>
      <c r="H21">
        <f>(-G21+F21*C$10*(C$9-C$12)-IF($A21=C$11,C$13*C$10,0))/(1+C$8)^$A21</f>
        <v/>
      </c>
      <c r="I21">
        <f>(-G21+F21*C$10*C$9)/(1+C$8)^$A21</f>
        <v/>
      </c>
      <c r="J21">
        <f>IF(AND(($A21-D$11)&gt;=1,($A21-D$11)&lt;=D$7),D$17*MIN(($A21-D$11)/D$6,1),0)</f>
        <v/>
      </c>
      <c r="K21" t="n">
        <v>60</v>
      </c>
      <c r="L21">
        <f>(-K21+J21*D$10*(D$9-D$12)-IF($A21=D$11,D$13*D$10,0))/(1+D$8)^$A21</f>
        <v/>
      </c>
      <c r="M21">
        <f>(-K21+J21*D$10*D$9)/(1+D$8)^$A21</f>
        <v/>
      </c>
    </row>
    <row r="22">
      <c r="A22" t="n">
        <v>3</v>
      </c>
      <c r="B22">
        <f>IF(AND(($A22-B$11)&gt;=1,($A22-B$11)&lt;=B$7),B$17*MIN(($A22-B$11)/B$6,1),0)</f>
        <v/>
      </c>
      <c r="C22" t="n">
        <v>60</v>
      </c>
      <c r="D22">
        <f>(-C22+B22*B$10*(B$9-B$12)-IF($A22=B$11,B$13*B$10,0))/(1+B$8)^$A22</f>
        <v/>
      </c>
      <c r="E22">
        <f>(-C22+B22*B$10*B$9)/(1+B$8)^$A22</f>
        <v/>
      </c>
      <c r="F22">
        <f>IF(AND(($A22-C$11)&gt;=1,($A22-C$11)&lt;=C$7),C$17*MIN(($A22-C$11)/C$6,1),0)</f>
        <v/>
      </c>
      <c r="G22" t="n">
        <v>60</v>
      </c>
      <c r="H22">
        <f>(-G22+F22*C$10*(C$9-C$12)-IF($A22=C$11,C$13*C$10,0))/(1+C$8)^$A22</f>
        <v/>
      </c>
      <c r="I22">
        <f>(-G22+F22*C$10*C$9)/(1+C$8)^$A22</f>
        <v/>
      </c>
      <c r="J22">
        <f>IF(AND(($A22-D$11)&gt;=1,($A22-D$11)&lt;=D$7),D$17*MIN(($A22-D$11)/D$6,1),0)</f>
        <v/>
      </c>
      <c r="K22" t="n">
        <v>60</v>
      </c>
      <c r="L22">
        <f>(-K22+J22*D$10*(D$9-D$12)-IF($A22=D$11,D$13*D$10,0))/(1+D$8)^$A22</f>
        <v/>
      </c>
      <c r="M22">
        <f>(-K22+J22*D$10*D$9)/(1+D$8)^$A22</f>
        <v/>
      </c>
    </row>
    <row r="23">
      <c r="A23" t="n">
        <v>4</v>
      </c>
      <c r="B23">
        <f>IF(AND(($A23-B$11)&gt;=1,($A23-B$11)&lt;=B$7),B$17*MIN(($A23-B$11)/B$6,1),0)</f>
        <v/>
      </c>
      <c r="C23" t="n">
        <v>10</v>
      </c>
      <c r="D23">
        <f>(-C23+B23*B$10*(B$9-B$12)-IF($A23=B$11,B$13*B$10,0))/(1+B$8)^$A23</f>
        <v/>
      </c>
      <c r="E23">
        <f>(-C23+B23*B$10*B$9)/(1+B$8)^$A23</f>
        <v/>
      </c>
      <c r="F23">
        <f>IF(AND(($A23-C$11)&gt;=1,($A23-C$11)&lt;=C$7),C$17*MIN(($A23-C$11)/C$6,1),0)</f>
        <v/>
      </c>
      <c r="G23" t="n">
        <v>8</v>
      </c>
      <c r="H23">
        <f>(-G23+F23*C$10*(C$9-C$12)-IF($A23=C$11,C$13*C$10,0))/(1+C$8)^$A23</f>
        <v/>
      </c>
      <c r="I23">
        <f>(-G23+F23*C$10*C$9)/(1+C$8)^$A23</f>
        <v/>
      </c>
      <c r="J23">
        <f>IF(AND(($A23-D$11)&gt;=1,($A23-D$11)&lt;=D$7),D$17*MIN(($A23-D$11)/D$6,1),0)</f>
        <v/>
      </c>
      <c r="K23" t="n">
        <v>10</v>
      </c>
      <c r="L23">
        <f>(-K23+J23*D$10*(D$9-D$12)-IF($A23=D$11,D$13*D$10,0))/(1+D$8)^$A23</f>
        <v/>
      </c>
      <c r="M23">
        <f>(-K23+J23*D$10*D$9)/(1+D$8)^$A23</f>
        <v/>
      </c>
    </row>
    <row r="24">
      <c r="A24" t="n">
        <v>5</v>
      </c>
      <c r="B24">
        <f>IF(AND(($A24-B$11)&gt;=1,($A24-B$11)&lt;=B$7),B$17*MIN(($A24-B$11)/B$6,1),0)</f>
        <v/>
      </c>
      <c r="C24" t="n">
        <v>0</v>
      </c>
      <c r="D24">
        <f>(-C24+B24*B$10*(B$9-B$12)-IF($A24=B$11,B$13*B$10,0))/(1+B$8)^$A24</f>
        <v/>
      </c>
      <c r="E24">
        <f>(-C24+B24*B$10*B$9)/(1+B$8)^$A24</f>
        <v/>
      </c>
      <c r="F24">
        <f>IF(AND(($A24-C$11)&gt;=1,($A24-C$11)&lt;=C$7),C$17*MIN(($A24-C$11)/C$6,1),0)</f>
        <v/>
      </c>
      <c r="G24" t="n">
        <v>0</v>
      </c>
      <c r="H24">
        <f>(-G24+F24*C$10*(C$9-C$12)-IF($A24=C$11,C$13*C$10,0))/(1+C$8)^$A24</f>
        <v/>
      </c>
      <c r="I24">
        <f>(-G24+F24*C$10*C$9)/(1+C$8)^$A24</f>
        <v/>
      </c>
      <c r="J24">
        <f>IF(AND(($A24-D$11)&gt;=1,($A24-D$11)&lt;=D$7),D$17*MIN(($A24-D$11)/D$6,1),0)</f>
        <v/>
      </c>
      <c r="K24" t="n">
        <v>0</v>
      </c>
      <c r="L24">
        <f>(-K24+J24*D$10*(D$9-D$12)-IF($A24=D$11,D$13*D$10,0))/(1+D$8)^$A24</f>
        <v/>
      </c>
      <c r="M24">
        <f>(-K24+J24*D$10*D$9)/(1+D$8)^$A24</f>
        <v/>
      </c>
    </row>
    <row r="25">
      <c r="A25" t="n">
        <v>6</v>
      </c>
      <c r="B25">
        <f>IF(AND(($A25-B$11)&gt;=1,($A25-B$11)&lt;=B$7),B$17*MIN(($A25-B$11)/B$6,1),0)</f>
        <v/>
      </c>
      <c r="C25" t="n">
        <v>0</v>
      </c>
      <c r="D25">
        <f>(-C25+B25*B$10*(B$9-B$12)-IF($A25=B$11,B$13*B$10,0))/(1+B$8)^$A25</f>
        <v/>
      </c>
      <c r="E25">
        <f>(-C25+B25*B$10*B$9)/(1+B$8)^$A25</f>
        <v/>
      </c>
      <c r="F25">
        <f>IF(AND(($A25-C$11)&gt;=1,($A25-C$11)&lt;=C$7),C$17*MIN(($A25-C$11)/C$6,1),0)</f>
        <v/>
      </c>
      <c r="G25" t="n">
        <v>0</v>
      </c>
      <c r="H25">
        <f>(-G25+F25*C$10*(C$9-C$12)-IF($A25=C$11,C$13*C$10,0))/(1+C$8)^$A25</f>
        <v/>
      </c>
      <c r="I25">
        <f>(-G25+F25*C$10*C$9)/(1+C$8)^$A25</f>
        <v/>
      </c>
      <c r="J25">
        <f>IF(AND(($A25-D$11)&gt;=1,($A25-D$11)&lt;=D$7),D$17*MIN(($A25-D$11)/D$6,1),0)</f>
        <v/>
      </c>
      <c r="K25" t="n">
        <v>0</v>
      </c>
      <c r="L25">
        <f>(-K25+J25*D$10*(D$9-D$12)-IF($A25=D$11,D$13*D$10,0))/(1+D$8)^$A25</f>
        <v/>
      </c>
      <c r="M25">
        <f>(-K25+J25*D$10*D$9)/(1+D$8)^$A25</f>
        <v/>
      </c>
    </row>
    <row r="26">
      <c r="A26" t="n">
        <v>7</v>
      </c>
      <c r="B26">
        <f>IF(AND(($A26-B$11)&gt;=1,($A26-B$11)&lt;=B$7),B$17*MIN(($A26-B$11)/B$6,1),0)</f>
        <v/>
      </c>
      <c r="C26" t="n">
        <v>0</v>
      </c>
      <c r="D26">
        <f>(-C26+B26*B$10*(B$9-B$12)-IF($A26=B$11,B$13*B$10,0))/(1+B$8)^$A26</f>
        <v/>
      </c>
      <c r="E26">
        <f>(-C26+B26*B$10*B$9)/(1+B$8)^$A26</f>
        <v/>
      </c>
      <c r="F26">
        <f>IF(AND(($A26-C$11)&gt;=1,($A26-C$11)&lt;=C$7),C$17*MIN(($A26-C$11)/C$6,1),0)</f>
        <v/>
      </c>
      <c r="G26" t="n">
        <v>0</v>
      </c>
      <c r="H26">
        <f>(-G26+F26*C$10*(C$9-C$12)-IF($A26=C$11,C$13*C$10,0))/(1+C$8)^$A26</f>
        <v/>
      </c>
      <c r="I26">
        <f>(-G26+F26*C$10*C$9)/(1+C$8)^$A26</f>
        <v/>
      </c>
      <c r="J26">
        <f>IF(AND(($A26-D$11)&gt;=1,($A26-D$11)&lt;=D$7),D$17*MIN(($A26-D$11)/D$6,1),0)</f>
        <v/>
      </c>
      <c r="K26" t="n">
        <v>0</v>
      </c>
      <c r="L26">
        <f>(-K26+J26*D$10*(D$9-D$12)-IF($A26=D$11,D$13*D$10,0))/(1+D$8)^$A26</f>
        <v/>
      </c>
      <c r="M26">
        <f>(-K26+J26*D$10*D$9)/(1+D$8)^$A26</f>
        <v/>
      </c>
    </row>
    <row r="27">
      <c r="A27" t="n">
        <v>8</v>
      </c>
      <c r="B27">
        <f>IF(AND(($A27-B$11)&gt;=1,($A27-B$11)&lt;=B$7),B$17*MIN(($A27-B$11)/B$6,1),0)</f>
        <v/>
      </c>
      <c r="C27" t="n">
        <v>0</v>
      </c>
      <c r="D27">
        <f>(-C27+B27*B$10*(B$9-B$12)-IF($A27=B$11,B$13*B$10,0))/(1+B$8)^$A27</f>
        <v/>
      </c>
      <c r="E27">
        <f>(-C27+B27*B$10*B$9)/(1+B$8)^$A27</f>
        <v/>
      </c>
      <c r="F27">
        <f>IF(AND(($A27-C$11)&gt;=1,($A27-C$11)&lt;=C$7),C$17*MIN(($A27-C$11)/C$6,1),0)</f>
        <v/>
      </c>
      <c r="G27" t="n">
        <v>0</v>
      </c>
      <c r="H27">
        <f>(-G27+F27*C$10*(C$9-C$12)-IF($A27=C$11,C$13*C$10,0))/(1+C$8)^$A27</f>
        <v/>
      </c>
      <c r="I27">
        <f>(-G27+F27*C$10*C$9)/(1+C$8)^$A27</f>
        <v/>
      </c>
      <c r="J27">
        <f>IF(AND(($A27-D$11)&gt;=1,($A27-D$11)&lt;=D$7),D$17*MIN(($A27-D$11)/D$6,1),0)</f>
        <v/>
      </c>
      <c r="K27" t="n">
        <v>0</v>
      </c>
      <c r="L27">
        <f>(-K27+J27*D$10*(D$9-D$12)-IF($A27=D$11,D$13*D$10,0))/(1+D$8)^$A27</f>
        <v/>
      </c>
      <c r="M27">
        <f>(-K27+J27*D$10*D$9)/(1+D$8)^$A27</f>
        <v/>
      </c>
    </row>
    <row r="28">
      <c r="A28" t="n">
        <v>9</v>
      </c>
      <c r="B28">
        <f>IF(AND(($A28-B$11)&gt;=1,($A28-B$11)&lt;=B$7),B$17*MIN(($A28-B$11)/B$6,1),0)</f>
        <v/>
      </c>
      <c r="C28" t="n">
        <v>0</v>
      </c>
      <c r="D28">
        <f>(-C28+B28*B$10*(B$9-B$12)-IF($A28=B$11,B$13*B$10,0))/(1+B$8)^$A28</f>
        <v/>
      </c>
      <c r="E28">
        <f>(-C28+B28*B$10*B$9)/(1+B$8)^$A28</f>
        <v/>
      </c>
      <c r="F28">
        <f>IF(AND(($A28-C$11)&gt;=1,($A28-C$11)&lt;=C$7),C$17*MIN(($A28-C$11)/C$6,1),0)</f>
        <v/>
      </c>
      <c r="G28" t="n">
        <v>0</v>
      </c>
      <c r="H28">
        <f>(-G28+F28*C$10*(C$9-C$12)-IF($A28=C$11,C$13*C$10,0))/(1+C$8)^$A28</f>
        <v/>
      </c>
      <c r="I28">
        <f>(-G28+F28*C$10*C$9)/(1+C$8)^$A28</f>
        <v/>
      </c>
      <c r="J28">
        <f>IF(AND(($A28-D$11)&gt;=1,($A28-D$11)&lt;=D$7),D$17*MIN(($A28-D$11)/D$6,1),0)</f>
        <v/>
      </c>
      <c r="K28" t="n">
        <v>0</v>
      </c>
      <c r="L28">
        <f>(-K28+J28*D$10*(D$9-D$12)-IF($A28=D$11,D$13*D$10,0))/(1+D$8)^$A28</f>
        <v/>
      </c>
      <c r="M28">
        <f>(-K28+J28*D$10*D$9)/(1+D$8)^$A28</f>
        <v/>
      </c>
    </row>
    <row r="29">
      <c r="A29" t="n">
        <v>10</v>
      </c>
      <c r="B29">
        <f>IF(AND(($A29-B$11)&gt;=1,($A29-B$11)&lt;=B$7),B$17*MIN(($A29-B$11)/B$6,1),0)</f>
        <v/>
      </c>
      <c r="C29" t="n">
        <v>0</v>
      </c>
      <c r="D29">
        <f>(-C29+B29*B$10*(B$9-B$12)-IF($A29=B$11,B$13*B$10,0))/(1+B$8)^$A29</f>
        <v/>
      </c>
      <c r="E29">
        <f>(-C29+B29*B$10*B$9)/(1+B$8)^$A29</f>
        <v/>
      </c>
      <c r="F29">
        <f>IF(AND(($A29-C$11)&gt;=1,($A29-C$11)&lt;=C$7),C$17*MIN(($A29-C$11)/C$6,1),0)</f>
        <v/>
      </c>
      <c r="G29" t="n">
        <v>0</v>
      </c>
      <c r="H29">
        <f>(-G29+F29*C$10*(C$9-C$12)-IF($A29=C$11,C$13*C$10,0))/(1+C$8)^$A29</f>
        <v/>
      </c>
      <c r="I29">
        <f>(-G29+F29*C$10*C$9)/(1+C$8)^$A29</f>
        <v/>
      </c>
      <c r="J29">
        <f>IF(AND(($A29-D$11)&gt;=1,($A29-D$11)&lt;=D$7),D$17*MIN(($A29-D$11)/D$6,1),0)</f>
        <v/>
      </c>
      <c r="K29" t="n">
        <v>0</v>
      </c>
      <c r="L29">
        <f>(-K29+J29*D$10*(D$9-D$12)-IF($A29=D$11,D$13*D$10,0))/(1+D$8)^$A29</f>
        <v/>
      </c>
      <c r="M29">
        <f>(-K29+J29*D$10*D$9)/(1+D$8)^$A29</f>
        <v/>
      </c>
    </row>
    <row r="30">
      <c r="A30" t="n">
        <v>11</v>
      </c>
      <c r="B30">
        <f>IF(AND(($A30-B$11)&gt;=1,($A30-B$11)&lt;=B$7),B$17*MIN(($A30-B$11)/B$6,1),0)</f>
        <v/>
      </c>
      <c r="C30" t="n">
        <v>0</v>
      </c>
      <c r="D30">
        <f>(-C30+B30*B$10*(B$9-B$12)-IF($A30=B$11,B$13*B$10,0))/(1+B$8)^$A30</f>
        <v/>
      </c>
      <c r="E30">
        <f>(-C30+B30*B$10*B$9)/(1+B$8)^$A30</f>
        <v/>
      </c>
      <c r="F30">
        <f>IF(AND(($A30-C$11)&gt;=1,($A30-C$11)&lt;=C$7),C$17*MIN(($A30-C$11)/C$6,1),0)</f>
        <v/>
      </c>
      <c r="G30" t="n">
        <v>0</v>
      </c>
      <c r="H30">
        <f>(-G30+F30*C$10*(C$9-C$12)-IF($A30=C$11,C$13*C$10,0))/(1+C$8)^$A30</f>
        <v/>
      </c>
      <c r="I30">
        <f>(-G30+F30*C$10*C$9)/(1+C$8)^$A30</f>
        <v/>
      </c>
      <c r="J30">
        <f>IF(AND(($A30-D$11)&gt;=1,($A30-D$11)&lt;=D$7),D$17*MIN(($A30-D$11)/D$6,1),0)</f>
        <v/>
      </c>
      <c r="K30" t="n">
        <v>0</v>
      </c>
      <c r="L30">
        <f>(-K30+J30*D$10*(D$9-D$12)-IF($A30=D$11,D$13*D$10,0))/(1+D$8)^$A30</f>
        <v/>
      </c>
      <c r="M30">
        <f>(-K30+J30*D$10*D$9)/(1+D$8)^$A30</f>
        <v/>
      </c>
    </row>
    <row r="31">
      <c r="A31" t="n">
        <v>12</v>
      </c>
      <c r="B31">
        <f>IF(AND(($A31-B$11)&gt;=1,($A31-B$11)&lt;=B$7),B$17*MIN(($A31-B$11)/B$6,1),0)</f>
        <v/>
      </c>
      <c r="C31" t="n">
        <v>0</v>
      </c>
      <c r="D31">
        <f>(-C31+B31*B$10*(B$9-B$12)-IF($A31=B$11,B$13*B$10,0))/(1+B$8)^$A31</f>
        <v/>
      </c>
      <c r="E31">
        <f>(-C31+B31*B$10*B$9)/(1+B$8)^$A31</f>
        <v/>
      </c>
      <c r="F31">
        <f>IF(AND(($A31-C$11)&gt;=1,($A31-C$11)&lt;=C$7),C$17*MIN(($A31-C$11)/C$6,1),0)</f>
        <v/>
      </c>
      <c r="G31" t="n">
        <v>0</v>
      </c>
      <c r="H31">
        <f>(-G31+F31*C$10*(C$9-C$12)-IF($A31=C$11,C$13*C$10,0))/(1+C$8)^$A31</f>
        <v/>
      </c>
      <c r="I31">
        <f>(-G31+F31*C$10*C$9)/(1+C$8)^$A31</f>
        <v/>
      </c>
      <c r="J31">
        <f>IF(AND(($A31-D$11)&gt;=1,($A31-D$11)&lt;=D$7),D$17*MIN(($A31-D$11)/D$6,1),0)</f>
        <v/>
      </c>
      <c r="K31" t="n">
        <v>0</v>
      </c>
      <c r="L31">
        <f>(-K31+J31*D$10*(D$9-D$12)-IF($A31=D$11,D$13*D$10,0))/(1+D$8)^$A31</f>
        <v/>
      </c>
      <c r="M31">
        <f>(-K31+J31*D$10*D$9)/(1+D$8)^$A31</f>
        <v/>
      </c>
    </row>
    <row r="32">
      <c r="A32" t="n">
        <v>13</v>
      </c>
      <c r="B32">
        <f>IF(AND(($A32-B$11)&gt;=1,($A32-B$11)&lt;=B$7),B$17*MIN(($A32-B$11)/B$6,1),0)</f>
        <v/>
      </c>
      <c r="C32" t="n">
        <v>0</v>
      </c>
      <c r="D32">
        <f>(-C32+B32*B$10*(B$9-B$12)-IF($A32=B$11,B$13*B$10,0))/(1+B$8)^$A32</f>
        <v/>
      </c>
      <c r="E32">
        <f>(-C32+B32*B$10*B$9)/(1+B$8)^$A32</f>
        <v/>
      </c>
      <c r="F32">
        <f>IF(AND(($A32-C$11)&gt;=1,($A32-C$11)&lt;=C$7),C$17*MIN(($A32-C$11)/C$6,1),0)</f>
        <v/>
      </c>
      <c r="G32" t="n">
        <v>0</v>
      </c>
      <c r="H32">
        <f>(-G32+F32*C$10*(C$9-C$12)-IF($A32=C$11,C$13*C$10,0))/(1+C$8)^$A32</f>
        <v/>
      </c>
      <c r="I32">
        <f>(-G32+F32*C$10*C$9)/(1+C$8)^$A32</f>
        <v/>
      </c>
      <c r="J32">
        <f>IF(AND(($A32-D$11)&gt;=1,($A32-D$11)&lt;=D$7),D$17*MIN(($A32-D$11)/D$6,1),0)</f>
        <v/>
      </c>
      <c r="K32" t="n">
        <v>0</v>
      </c>
      <c r="L32">
        <f>(-K32+J32*D$10*(D$9-D$12)-IF($A32=D$11,D$13*D$10,0))/(1+D$8)^$A32</f>
        <v/>
      </c>
      <c r="M32">
        <f>(-K32+J32*D$10*D$9)/(1+D$8)^$A32</f>
        <v/>
      </c>
    </row>
    <row r="33">
      <c r="A33" t="n">
        <v>14</v>
      </c>
      <c r="B33">
        <f>IF(AND(($A33-B$11)&gt;=1,($A33-B$11)&lt;=B$7),B$17*MIN(($A33-B$11)/B$6,1),0)</f>
        <v/>
      </c>
      <c r="C33" t="n">
        <v>0</v>
      </c>
      <c r="D33">
        <f>(-C33+B33*B$10*(B$9-B$12)-IF($A33=B$11,B$13*B$10,0))/(1+B$8)^$A33</f>
        <v/>
      </c>
      <c r="E33">
        <f>(-C33+B33*B$10*B$9)/(1+B$8)^$A33</f>
        <v/>
      </c>
      <c r="F33">
        <f>IF(AND(($A33-C$11)&gt;=1,($A33-C$11)&lt;=C$7),C$17*MIN(($A33-C$11)/C$6,1),0)</f>
        <v/>
      </c>
      <c r="G33" t="n">
        <v>0</v>
      </c>
      <c r="H33">
        <f>(-G33+F33*C$10*(C$9-C$12)-IF($A33=C$11,C$13*C$10,0))/(1+C$8)^$A33</f>
        <v/>
      </c>
      <c r="I33">
        <f>(-G33+F33*C$10*C$9)/(1+C$8)^$A33</f>
        <v/>
      </c>
      <c r="J33">
        <f>IF(AND(($A33-D$11)&gt;=1,($A33-D$11)&lt;=D$7),D$17*MIN(($A33-D$11)/D$6,1),0)</f>
        <v/>
      </c>
      <c r="K33" t="n">
        <v>0</v>
      </c>
      <c r="L33">
        <f>(-K33+J33*D$10*(D$9-D$12)-IF($A33=D$11,D$13*D$10,0))/(1+D$8)^$A33</f>
        <v/>
      </c>
      <c r="M33">
        <f>(-K33+J33*D$10*D$9)/(1+D$8)^$A33</f>
        <v/>
      </c>
    </row>
    <row r="34">
      <c r="A34" t="n">
        <v>15</v>
      </c>
      <c r="B34">
        <f>IF(AND(($A34-B$11)&gt;=1,($A34-B$11)&lt;=B$7),B$17*MIN(($A34-B$11)/B$6,1),0)</f>
        <v/>
      </c>
      <c r="C34" t="n">
        <v>0</v>
      </c>
      <c r="D34">
        <f>(-C34+B34*B$10*(B$9-B$12)-IF($A34=B$11,B$13*B$10,0))/(1+B$8)^$A34</f>
        <v/>
      </c>
      <c r="E34">
        <f>(-C34+B34*B$10*B$9)/(1+B$8)^$A34</f>
        <v/>
      </c>
      <c r="F34">
        <f>IF(AND(($A34-C$11)&gt;=1,($A34-C$11)&lt;=C$7),C$17*MIN(($A34-C$11)/C$6,1),0)</f>
        <v/>
      </c>
      <c r="G34" t="n">
        <v>0</v>
      </c>
      <c r="H34">
        <f>(-G34+F34*C$10*(C$9-C$12)-IF($A34=C$11,C$13*C$10,0))/(1+C$8)^$A34</f>
        <v/>
      </c>
      <c r="I34">
        <f>(-G34+F34*C$10*C$9)/(1+C$8)^$A34</f>
        <v/>
      </c>
      <c r="J34">
        <f>IF(AND(($A34-D$11)&gt;=1,($A34-D$11)&lt;=D$7),D$17*MIN(($A34-D$11)/D$6,1),0)</f>
        <v/>
      </c>
      <c r="K34" t="n">
        <v>0</v>
      </c>
      <c r="L34">
        <f>(-K34+J34*D$10*(D$9-D$12)-IF($A34=D$11,D$13*D$10,0))/(1+D$8)^$A34</f>
        <v/>
      </c>
      <c r="M34">
        <f>(-K34+J34*D$10*D$9)/(1+D$8)^$A34</f>
        <v/>
      </c>
    </row>
    <row r="35">
      <c r="A35" t="n">
        <v>16</v>
      </c>
      <c r="B35">
        <f>IF(AND(($A35-B$11)&gt;=1,($A35-B$11)&lt;=B$7),B$17*MIN(($A35-B$11)/B$6,1),0)</f>
        <v/>
      </c>
      <c r="C35" t="n">
        <v>0</v>
      </c>
      <c r="D35">
        <f>(-C35+B35*B$10*(B$9-B$12)-IF($A35=B$11,B$13*B$10,0))/(1+B$8)^$A35</f>
        <v/>
      </c>
      <c r="E35">
        <f>(-C35+B35*B$10*B$9)/(1+B$8)^$A35</f>
        <v/>
      </c>
      <c r="F35">
        <f>IF(AND(($A35-C$11)&gt;=1,($A35-C$11)&lt;=C$7),C$17*MIN(($A35-C$11)/C$6,1),0)</f>
        <v/>
      </c>
      <c r="G35" t="n">
        <v>0</v>
      </c>
      <c r="H35">
        <f>(-G35+F35*C$10*(C$9-C$12)-IF($A35=C$11,C$13*C$10,0))/(1+C$8)^$A35</f>
        <v/>
      </c>
      <c r="I35">
        <f>(-G35+F35*C$10*C$9)/(1+C$8)^$A35</f>
        <v/>
      </c>
      <c r="J35">
        <f>IF(AND(($A35-D$11)&gt;=1,($A35-D$11)&lt;=D$7),D$17*MIN(($A35-D$11)/D$6,1),0)</f>
        <v/>
      </c>
      <c r="K35" t="n">
        <v>0</v>
      </c>
      <c r="L35">
        <f>(-K35+J35*D$10*(D$9-D$12)-IF($A35=D$11,D$13*D$10,0))/(1+D$8)^$A35</f>
        <v/>
      </c>
      <c r="M35">
        <f>(-K35+J35*D$10*D$9)/(1+D$8)^$A35</f>
        <v/>
      </c>
    </row>
    <row r="37">
      <c r="A37" t="inlineStr">
        <is>
          <t>rNPV licence ($M) = sum(disc CF) - upfront</t>
        </is>
      </c>
      <c r="B37">
        <f>SUM(D20:D35)-B14</f>
        <v/>
      </c>
      <c r="C37">
        <f>SUM(H20:H35)-C14</f>
        <v/>
      </c>
      <c r="D37">
        <f>SUM(L20:L35)-D14</f>
        <v/>
      </c>
      <c r="E37" t="inlineStr">
        <is>
          <t>(columns B/C/D = Base/Bear/Bull)</t>
        </is>
      </c>
    </row>
    <row r="38">
      <c r="A38" t="inlineStr">
        <is>
          <t>rNPV acquisition ($M) = sum(disc CF) - upfront</t>
        </is>
      </c>
      <c r="B38">
        <f>SUM(E20:E35)-B15</f>
        <v/>
      </c>
      <c r="C38">
        <f>SUM(I20:I35)-C15</f>
        <v/>
      </c>
      <c r="D38">
        <f>SUM(M20:M35)-D15</f>
        <v/>
      </c>
    </row>
    <row r="40">
      <c r="A40" t="inlineStr">
        <is>
          <t>License vs acquisition: buyer perspective. Licence keeps upfront low but royalty+milestones cut value; acquisition only makes sense if seller owns ex-China/global rights outright. Availability NOT evidenced for any program.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SKB315 (CL-27) buyer-perspective rNPV, $M. ALL INPUTS HYPOTHETICAL (protocol placeholders) or ANALYST ASSUMPTION. Not a sourced valuation.</t>
        </is>
      </c>
    </row>
    <row r="2">
      <c r="A2" t="inlineStr">
        <is>
          <t>Input</t>
        </is>
      </c>
      <c r="B2" t="inlineStr">
        <is>
          <t>Base</t>
        </is>
      </c>
      <c r="C2" t="inlineStr">
        <is>
          <t>Bear</t>
        </is>
      </c>
      <c r="D2" t="inlineStr">
        <is>
          <t>Bull</t>
        </is>
      </c>
      <c r="E2" t="inlineStr">
        <is>
          <t>Label</t>
        </is>
      </c>
    </row>
    <row r="3">
      <c r="A3" t="inlineStr">
        <is>
          <t>Addressable patients</t>
        </is>
      </c>
      <c r="B3" t="n">
        <v>6000</v>
      </c>
      <c r="C3" t="n">
        <v>6000</v>
      </c>
      <c r="D3" t="n">
        <v>6000</v>
      </c>
      <c r="E3" t="inlineStr">
        <is>
          <t>HYPOTHETICAL</t>
        </is>
      </c>
    </row>
    <row r="4">
      <c r="A4" t="inlineStr">
        <is>
          <t>Net price $</t>
        </is>
      </c>
      <c r="B4" t="n">
        <v>150000</v>
      </c>
      <c r="C4" t="n">
        <v>150000</v>
      </c>
      <c r="D4" t="n">
        <v>150000</v>
      </c>
      <c r="E4" t="inlineStr">
        <is>
          <t>HYPOTHETICAL</t>
        </is>
      </c>
    </row>
    <row r="5">
      <c r="A5" t="inlineStr">
        <is>
          <t>Peak penetration</t>
        </is>
      </c>
      <c r="B5" t="n">
        <v>0.15</v>
      </c>
      <c r="C5" t="n">
        <v>0.075</v>
      </c>
      <c r="D5" t="n">
        <v>0.225</v>
      </c>
      <c r="E5" t="inlineStr">
        <is>
          <t>HYPOTHETICAL x scenario mult (ANALYST: bear 0.5x, bull 1.5x)</t>
        </is>
      </c>
    </row>
    <row r="6">
      <c r="A6" t="inlineStr">
        <is>
          <t>Years to peak</t>
        </is>
      </c>
      <c r="B6" t="n">
        <v>5</v>
      </c>
      <c r="C6" t="n">
        <v>5</v>
      </c>
      <c r="D6" t="n">
        <v>5</v>
      </c>
      <c r="E6" t="inlineStr">
        <is>
          <t>HYPOTHETICAL</t>
        </is>
      </c>
    </row>
    <row r="7">
      <c r="A7" t="inlineStr">
        <is>
          <t>Patent life yrs from launch</t>
        </is>
      </c>
      <c r="B7" t="n">
        <v>12</v>
      </c>
      <c r="C7" t="n">
        <v>12</v>
      </c>
      <c r="D7" t="n">
        <v>12</v>
      </c>
      <c r="E7" t="inlineStr">
        <is>
          <t>HYPOTHETICAL</t>
        </is>
      </c>
    </row>
    <row r="8">
      <c r="A8" t="inlineStr">
        <is>
          <t>Discount rate</t>
        </is>
      </c>
      <c r="B8" t="n">
        <v>0.1</v>
      </c>
      <c r="C8" t="n">
        <v>0.1</v>
      </c>
      <c r="D8" t="n">
        <v>0.1</v>
      </c>
      <c r="E8" t="inlineStr">
        <is>
          <t>HYPOTHETICAL</t>
        </is>
      </c>
    </row>
    <row r="9">
      <c r="A9" t="inlineStr">
        <is>
          <t>Operating margin on sales</t>
        </is>
      </c>
      <c r="B9" t="n">
        <v>0.4</v>
      </c>
      <c r="C9" t="n">
        <v>0.4</v>
      </c>
      <c r="D9" t="n">
        <v>0.4</v>
      </c>
      <c r="E9" t="inlineStr">
        <is>
          <t>ANALYST ASSUMPTION</t>
        </is>
      </c>
    </row>
    <row r="10">
      <c r="A10" t="inlineStr">
        <is>
          <t>Cumulative PoS to approval</t>
        </is>
      </c>
      <c r="B10" t="n">
        <v>0.1575</v>
      </c>
      <c r="C10" t="n">
        <v>0.08064</v>
      </c>
      <c r="D10" t="n">
        <v>0.1575</v>
      </c>
      <c r="E10" t="inlineStr">
        <is>
          <t>HYPOTHETICAL phase PoS product (bear: each x0.8, ANALYST)</t>
        </is>
      </c>
    </row>
    <row r="11">
      <c r="A11" t="inlineStr">
        <is>
          <t>Years to launch</t>
        </is>
      </c>
      <c r="B11" t="n">
        <v>6</v>
      </c>
      <c r="C11" t="n">
        <v>6</v>
      </c>
      <c r="D11" t="n">
        <v>6</v>
      </c>
      <c r="E11" t="inlineStr">
        <is>
          <t>HYPOTHETICAL durations</t>
        </is>
      </c>
    </row>
    <row r="12">
      <c r="A12" t="inlineStr">
        <is>
          <t>Licence royalty</t>
        </is>
      </c>
      <c r="B12" t="n">
        <v>0.12</v>
      </c>
      <c r="C12" t="n">
        <v>0.12</v>
      </c>
      <c r="D12" t="n">
        <v>0.12</v>
      </c>
      <c r="E12" t="inlineStr">
        <is>
          <t>HYPOTHETICAL</t>
        </is>
      </c>
    </row>
    <row r="13">
      <c r="A13" t="inlineStr">
        <is>
          <t>Licence milestones (at launch)</t>
        </is>
      </c>
      <c r="B13" t="n">
        <v>500</v>
      </c>
      <c r="C13" t="n">
        <v>500</v>
      </c>
      <c r="D13" t="n">
        <v>500</v>
      </c>
      <c r="E13" t="inlineStr">
        <is>
          <t>HYPOTHETICAL; ANALYST: all paid at launch</t>
        </is>
      </c>
    </row>
    <row r="14">
      <c r="A14" t="inlineStr">
        <is>
          <t>Licence upfront</t>
        </is>
      </c>
      <c r="B14" t="n">
        <v>100</v>
      </c>
      <c r="C14" t="n">
        <v>100</v>
      </c>
      <c r="D14" t="n">
        <v>100</v>
      </c>
      <c r="E14" t="inlineStr">
        <is>
          <t>HYPOTHETICAL</t>
        </is>
      </c>
    </row>
    <row r="15">
      <c r="A15" t="inlineStr">
        <is>
          <t>Acquisition upfront</t>
        </is>
      </c>
      <c r="B15" t="n">
        <v>400</v>
      </c>
      <c r="C15" t="n">
        <v>400</v>
      </c>
      <c r="D15" t="n">
        <v>400</v>
      </c>
      <c r="E15" t="inlineStr">
        <is>
          <t>HYPOTHETICAL</t>
        </is>
      </c>
    </row>
    <row r="17">
      <c r="A17" t="inlineStr">
        <is>
          <t>Peak sales $M</t>
        </is>
      </c>
      <c r="B17">
        <f>B3*B4*B5/1e6</f>
        <v/>
      </c>
      <c r="C17">
        <f>C3*C4*C5/1e6</f>
        <v/>
      </c>
      <c r="D17">
        <f>D3*D4*D5/1e6</f>
        <v/>
      </c>
    </row>
    <row r="19">
      <c r="A19" t="inlineStr">
        <is>
          <t>Year</t>
        </is>
      </c>
      <c r="B19" t="inlineStr">
        <is>
          <t>Base Rev $M</t>
        </is>
      </c>
      <c r="C19" t="inlineStr">
        <is>
          <t>Base R&amp;D cost (prob-wtd)</t>
        </is>
      </c>
      <c r="D19" t="inlineStr">
        <is>
          <t>Base License CF</t>
        </is>
      </c>
      <c r="E19" t="inlineStr">
        <is>
          <t>Base Acq CF</t>
        </is>
      </c>
      <c r="F19" t="inlineStr">
        <is>
          <t>Bear Rev $M</t>
        </is>
      </c>
      <c r="G19" t="inlineStr">
        <is>
          <t>Bear R&amp;D cost (prob-wtd)</t>
        </is>
      </c>
      <c r="H19" t="inlineStr">
        <is>
          <t>Bear License CF</t>
        </is>
      </c>
      <c r="I19" t="inlineStr">
        <is>
          <t>Bear Acq CF</t>
        </is>
      </c>
      <c r="J19" t="inlineStr">
        <is>
          <t>Bull Rev $M</t>
        </is>
      </c>
      <c r="K19" t="inlineStr">
        <is>
          <t>Bull R&amp;D cost (prob-wtd)</t>
        </is>
      </c>
      <c r="L19" t="inlineStr">
        <is>
          <t>Bull License CF</t>
        </is>
      </c>
      <c r="M19" t="inlineStr">
        <is>
          <t>Bull Acq CF</t>
        </is>
      </c>
    </row>
    <row r="20">
      <c r="A20" t="n">
        <v>1</v>
      </c>
      <c r="B20">
        <f>IF(AND(($A20-B$11)&gt;=1,($A20-B$11)&lt;=B$7),B$17*MIN(($A20-B$11)/B$6,1),0)</f>
        <v/>
      </c>
      <c r="C20" t="n">
        <v>30</v>
      </c>
      <c r="D20">
        <f>(-C20+B20*B$10*(B$9-B$12)-IF($A20=B$11,B$13*B$10,0))/(1+B$8)^$A20</f>
        <v/>
      </c>
      <c r="E20">
        <f>(-C20+B20*B$10*B$9)/(1+B$8)^$A20</f>
        <v/>
      </c>
      <c r="F20">
        <f>IF(AND(($A20-C$11)&gt;=1,($A20-C$11)&lt;=C$7),C$17*MIN(($A20-C$11)/C$6,1),0)</f>
        <v/>
      </c>
      <c r="G20" t="n">
        <v>30</v>
      </c>
      <c r="H20">
        <f>(-G20+F20*C$10*(C$9-C$12)-IF($A20=C$11,C$13*C$10,0))/(1+C$8)^$A20</f>
        <v/>
      </c>
      <c r="I20">
        <f>(-G20+F20*C$10*C$9)/(1+C$8)^$A20</f>
        <v/>
      </c>
      <c r="J20">
        <f>IF(AND(($A20-D$11)&gt;=1,($A20-D$11)&lt;=D$7),D$17*MIN(($A20-D$11)/D$6,1),0)</f>
        <v/>
      </c>
      <c r="K20" t="n">
        <v>30</v>
      </c>
      <c r="L20">
        <f>(-K20+J20*D$10*(D$9-D$12)-IF($A20=D$11,D$13*D$10,0))/(1+D$8)^$A20</f>
        <v/>
      </c>
      <c r="M20">
        <f>(-K20+J20*D$10*D$9)/(1+D$8)^$A20</f>
        <v/>
      </c>
    </row>
    <row r="21">
      <c r="A21" t="n">
        <v>2</v>
      </c>
      <c r="B21">
        <f>IF(AND(($A21-B$11)&gt;=1,($A21-B$11)&lt;=B$7),B$17*MIN(($A21-B$11)/B$6,1),0)</f>
        <v/>
      </c>
      <c r="C21" t="n">
        <v>30</v>
      </c>
      <c r="D21">
        <f>(-C21+B21*B$10*(B$9-B$12)-IF($A21=B$11,B$13*B$10,0))/(1+B$8)^$A21</f>
        <v/>
      </c>
      <c r="E21">
        <f>(-C21+B21*B$10*B$9)/(1+B$8)^$A21</f>
        <v/>
      </c>
      <c r="F21">
        <f>IF(AND(($A21-C$11)&gt;=1,($A21-C$11)&lt;=C$7),C$17*MIN(($A21-C$11)/C$6,1),0)</f>
        <v/>
      </c>
      <c r="G21" t="n">
        <v>30</v>
      </c>
      <c r="H21">
        <f>(-G21+F21*C$10*(C$9-C$12)-IF($A21=C$11,C$13*C$10,0))/(1+C$8)^$A21</f>
        <v/>
      </c>
      <c r="I21">
        <f>(-G21+F21*C$10*C$9)/(1+C$8)^$A21</f>
        <v/>
      </c>
      <c r="J21">
        <f>IF(AND(($A21-D$11)&gt;=1,($A21-D$11)&lt;=D$7),D$17*MIN(($A21-D$11)/D$6,1),0)</f>
        <v/>
      </c>
      <c r="K21" t="n">
        <v>30</v>
      </c>
      <c r="L21">
        <f>(-K21+J21*D$10*(D$9-D$12)-IF($A21=D$11,D$13*D$10,0))/(1+D$8)^$A21</f>
        <v/>
      </c>
      <c r="M21">
        <f>(-K21+J21*D$10*D$9)/(1+D$8)^$A21</f>
        <v/>
      </c>
    </row>
    <row r="22">
      <c r="A22" t="n">
        <v>3</v>
      </c>
      <c r="B22">
        <f>IF(AND(($A22-B$11)&gt;=1,($A22-B$11)&lt;=B$7),B$17*MIN(($A22-B$11)/B$6,1),0)</f>
        <v/>
      </c>
      <c r="C22" t="n">
        <v>21</v>
      </c>
      <c r="D22">
        <f>(-C22+B22*B$10*(B$9-B$12)-IF($A22=B$11,B$13*B$10,0))/(1+B$8)^$A22</f>
        <v/>
      </c>
      <c r="E22">
        <f>(-C22+B22*B$10*B$9)/(1+B$8)^$A22</f>
        <v/>
      </c>
      <c r="F22">
        <f>IF(AND(($A22-C$11)&gt;=1,($A22-C$11)&lt;=C$7),C$17*MIN(($A22-C$11)/C$6,1),0)</f>
        <v/>
      </c>
      <c r="G22" t="n">
        <v>16.8</v>
      </c>
      <c r="H22">
        <f>(-G22+F22*C$10*(C$9-C$12)-IF($A22=C$11,C$13*C$10,0))/(1+C$8)^$A22</f>
        <v/>
      </c>
      <c r="I22">
        <f>(-G22+F22*C$10*C$9)/(1+C$8)^$A22</f>
        <v/>
      </c>
      <c r="J22">
        <f>IF(AND(($A22-D$11)&gt;=1,($A22-D$11)&lt;=D$7),D$17*MIN(($A22-D$11)/D$6,1),0)</f>
        <v/>
      </c>
      <c r="K22" t="n">
        <v>21</v>
      </c>
      <c r="L22">
        <f>(-K22+J22*D$10*(D$9-D$12)-IF($A22=D$11,D$13*D$10,0))/(1+D$8)^$A22</f>
        <v/>
      </c>
      <c r="M22">
        <f>(-K22+J22*D$10*D$9)/(1+D$8)^$A22</f>
        <v/>
      </c>
    </row>
    <row r="23">
      <c r="A23" t="n">
        <v>4</v>
      </c>
      <c r="B23">
        <f>IF(AND(($A23-B$11)&gt;=1,($A23-B$11)&lt;=B$7),B$17*MIN(($A23-B$11)/B$6,1),0)</f>
        <v/>
      </c>
      <c r="C23" t="n">
        <v>21</v>
      </c>
      <c r="D23">
        <f>(-C23+B23*B$10*(B$9-B$12)-IF($A23=B$11,B$13*B$10,0))/(1+B$8)^$A23</f>
        <v/>
      </c>
      <c r="E23">
        <f>(-C23+B23*B$10*B$9)/(1+B$8)^$A23</f>
        <v/>
      </c>
      <c r="F23">
        <f>IF(AND(($A23-C$11)&gt;=1,($A23-C$11)&lt;=C$7),C$17*MIN(($A23-C$11)/C$6,1),0)</f>
        <v/>
      </c>
      <c r="G23" t="n">
        <v>16.8</v>
      </c>
      <c r="H23">
        <f>(-G23+F23*C$10*(C$9-C$12)-IF($A23=C$11,C$13*C$10,0))/(1+C$8)^$A23</f>
        <v/>
      </c>
      <c r="I23">
        <f>(-G23+F23*C$10*C$9)/(1+C$8)^$A23</f>
        <v/>
      </c>
      <c r="J23">
        <f>IF(AND(($A23-D$11)&gt;=1,($A23-D$11)&lt;=D$7),D$17*MIN(($A23-D$11)/D$6,1),0)</f>
        <v/>
      </c>
      <c r="K23" t="n">
        <v>21</v>
      </c>
      <c r="L23">
        <f>(-K23+J23*D$10*(D$9-D$12)-IF($A23=D$11,D$13*D$10,0))/(1+D$8)^$A23</f>
        <v/>
      </c>
      <c r="M23">
        <f>(-K23+J23*D$10*D$9)/(1+D$8)^$A23</f>
        <v/>
      </c>
    </row>
    <row r="24">
      <c r="A24" t="n">
        <v>5</v>
      </c>
      <c r="B24">
        <f>IF(AND(($A24-B$11)&gt;=1,($A24-B$11)&lt;=B$7),B$17*MIN(($A24-B$11)/B$6,1),0)</f>
        <v/>
      </c>
      <c r="C24" t="n">
        <v>21</v>
      </c>
      <c r="D24">
        <f>(-C24+B24*B$10*(B$9-B$12)-IF($A24=B$11,B$13*B$10,0))/(1+B$8)^$A24</f>
        <v/>
      </c>
      <c r="E24">
        <f>(-C24+B24*B$10*B$9)/(1+B$8)^$A24</f>
        <v/>
      </c>
      <c r="F24">
        <f>IF(AND(($A24-C$11)&gt;=1,($A24-C$11)&lt;=C$7),C$17*MIN(($A24-C$11)/C$6,1),0)</f>
        <v/>
      </c>
      <c r="G24" t="n">
        <v>16.8</v>
      </c>
      <c r="H24">
        <f>(-G24+F24*C$10*(C$9-C$12)-IF($A24=C$11,C$13*C$10,0))/(1+C$8)^$A24</f>
        <v/>
      </c>
      <c r="I24">
        <f>(-G24+F24*C$10*C$9)/(1+C$8)^$A24</f>
        <v/>
      </c>
      <c r="J24">
        <f>IF(AND(($A24-D$11)&gt;=1,($A24-D$11)&lt;=D$7),D$17*MIN(($A24-D$11)/D$6,1),0)</f>
        <v/>
      </c>
      <c r="K24" t="n">
        <v>21</v>
      </c>
      <c r="L24">
        <f>(-K24+J24*D$10*(D$9-D$12)-IF($A24=D$11,D$13*D$10,0))/(1+D$8)^$A24</f>
        <v/>
      </c>
      <c r="M24">
        <f>(-K24+J24*D$10*D$9)/(1+D$8)^$A24</f>
        <v/>
      </c>
    </row>
    <row r="25">
      <c r="A25" t="n">
        <v>6</v>
      </c>
      <c r="B25">
        <f>IF(AND(($A25-B$11)&gt;=1,($A25-B$11)&lt;=B$7),B$17*MIN(($A25-B$11)/B$6,1),0)</f>
        <v/>
      </c>
      <c r="C25" t="n">
        <v>3.5</v>
      </c>
      <c r="D25">
        <f>(-C25+B25*B$10*(B$9-B$12)-IF($A25=B$11,B$13*B$10,0))/(1+B$8)^$A25</f>
        <v/>
      </c>
      <c r="E25">
        <f>(-C25+B25*B$10*B$9)/(1+B$8)^$A25</f>
        <v/>
      </c>
      <c r="F25">
        <f>IF(AND(($A25-C$11)&gt;=1,($A25-C$11)&lt;=C$7),C$17*MIN(($A25-C$11)/C$6,1),0)</f>
        <v/>
      </c>
      <c r="G25" t="n">
        <v>2.24</v>
      </c>
      <c r="H25">
        <f>(-G25+F25*C$10*(C$9-C$12)-IF($A25=C$11,C$13*C$10,0))/(1+C$8)^$A25</f>
        <v/>
      </c>
      <c r="I25">
        <f>(-G25+F25*C$10*C$9)/(1+C$8)^$A25</f>
        <v/>
      </c>
      <c r="J25">
        <f>IF(AND(($A25-D$11)&gt;=1,($A25-D$11)&lt;=D$7),D$17*MIN(($A25-D$11)/D$6,1),0)</f>
        <v/>
      </c>
      <c r="K25" t="n">
        <v>3.5</v>
      </c>
      <c r="L25">
        <f>(-K25+J25*D$10*(D$9-D$12)-IF($A25=D$11,D$13*D$10,0))/(1+D$8)^$A25</f>
        <v/>
      </c>
      <c r="M25">
        <f>(-K25+J25*D$10*D$9)/(1+D$8)^$A25</f>
        <v/>
      </c>
    </row>
    <row r="26">
      <c r="A26" t="n">
        <v>7</v>
      </c>
      <c r="B26">
        <f>IF(AND(($A26-B$11)&gt;=1,($A26-B$11)&lt;=B$7),B$17*MIN(($A26-B$11)/B$6,1),0)</f>
        <v/>
      </c>
      <c r="C26" t="n">
        <v>0</v>
      </c>
      <c r="D26">
        <f>(-C26+B26*B$10*(B$9-B$12)-IF($A26=B$11,B$13*B$10,0))/(1+B$8)^$A26</f>
        <v/>
      </c>
      <c r="E26">
        <f>(-C26+B26*B$10*B$9)/(1+B$8)^$A26</f>
        <v/>
      </c>
      <c r="F26">
        <f>IF(AND(($A26-C$11)&gt;=1,($A26-C$11)&lt;=C$7),C$17*MIN(($A26-C$11)/C$6,1),0)</f>
        <v/>
      </c>
      <c r="G26" t="n">
        <v>0</v>
      </c>
      <c r="H26">
        <f>(-G26+F26*C$10*(C$9-C$12)-IF($A26=C$11,C$13*C$10,0))/(1+C$8)^$A26</f>
        <v/>
      </c>
      <c r="I26">
        <f>(-G26+F26*C$10*C$9)/(1+C$8)^$A26</f>
        <v/>
      </c>
      <c r="J26">
        <f>IF(AND(($A26-D$11)&gt;=1,($A26-D$11)&lt;=D$7),D$17*MIN(($A26-D$11)/D$6,1),0)</f>
        <v/>
      </c>
      <c r="K26" t="n">
        <v>0</v>
      </c>
      <c r="L26">
        <f>(-K26+J26*D$10*(D$9-D$12)-IF($A26=D$11,D$13*D$10,0))/(1+D$8)^$A26</f>
        <v/>
      </c>
      <c r="M26">
        <f>(-K26+J26*D$10*D$9)/(1+D$8)^$A26</f>
        <v/>
      </c>
    </row>
    <row r="27">
      <c r="A27" t="n">
        <v>8</v>
      </c>
      <c r="B27">
        <f>IF(AND(($A27-B$11)&gt;=1,($A27-B$11)&lt;=B$7),B$17*MIN(($A27-B$11)/B$6,1),0)</f>
        <v/>
      </c>
      <c r="C27" t="n">
        <v>0</v>
      </c>
      <c r="D27">
        <f>(-C27+B27*B$10*(B$9-B$12)-IF($A27=B$11,B$13*B$10,0))/(1+B$8)^$A27</f>
        <v/>
      </c>
      <c r="E27">
        <f>(-C27+B27*B$10*B$9)/(1+B$8)^$A27</f>
        <v/>
      </c>
      <c r="F27">
        <f>IF(AND(($A27-C$11)&gt;=1,($A27-C$11)&lt;=C$7),C$17*MIN(($A27-C$11)/C$6,1),0)</f>
        <v/>
      </c>
      <c r="G27" t="n">
        <v>0</v>
      </c>
      <c r="H27">
        <f>(-G27+F27*C$10*(C$9-C$12)-IF($A27=C$11,C$13*C$10,0))/(1+C$8)^$A27</f>
        <v/>
      </c>
      <c r="I27">
        <f>(-G27+F27*C$10*C$9)/(1+C$8)^$A27</f>
        <v/>
      </c>
      <c r="J27">
        <f>IF(AND(($A27-D$11)&gt;=1,($A27-D$11)&lt;=D$7),D$17*MIN(($A27-D$11)/D$6,1),0)</f>
        <v/>
      </c>
      <c r="K27" t="n">
        <v>0</v>
      </c>
      <c r="L27">
        <f>(-K27+J27*D$10*(D$9-D$12)-IF($A27=D$11,D$13*D$10,0))/(1+D$8)^$A27</f>
        <v/>
      </c>
      <c r="M27">
        <f>(-K27+J27*D$10*D$9)/(1+D$8)^$A27</f>
        <v/>
      </c>
    </row>
    <row r="28">
      <c r="A28" t="n">
        <v>9</v>
      </c>
      <c r="B28">
        <f>IF(AND(($A28-B$11)&gt;=1,($A28-B$11)&lt;=B$7),B$17*MIN(($A28-B$11)/B$6,1),0)</f>
        <v/>
      </c>
      <c r="C28" t="n">
        <v>0</v>
      </c>
      <c r="D28">
        <f>(-C28+B28*B$10*(B$9-B$12)-IF($A28=B$11,B$13*B$10,0))/(1+B$8)^$A28</f>
        <v/>
      </c>
      <c r="E28">
        <f>(-C28+B28*B$10*B$9)/(1+B$8)^$A28</f>
        <v/>
      </c>
      <c r="F28">
        <f>IF(AND(($A28-C$11)&gt;=1,($A28-C$11)&lt;=C$7),C$17*MIN(($A28-C$11)/C$6,1),0)</f>
        <v/>
      </c>
      <c r="G28" t="n">
        <v>0</v>
      </c>
      <c r="H28">
        <f>(-G28+F28*C$10*(C$9-C$12)-IF($A28=C$11,C$13*C$10,0))/(1+C$8)^$A28</f>
        <v/>
      </c>
      <c r="I28">
        <f>(-G28+F28*C$10*C$9)/(1+C$8)^$A28</f>
        <v/>
      </c>
      <c r="J28">
        <f>IF(AND(($A28-D$11)&gt;=1,($A28-D$11)&lt;=D$7),D$17*MIN(($A28-D$11)/D$6,1),0)</f>
        <v/>
      </c>
      <c r="K28" t="n">
        <v>0</v>
      </c>
      <c r="L28">
        <f>(-K28+J28*D$10*(D$9-D$12)-IF($A28=D$11,D$13*D$10,0))/(1+D$8)^$A28</f>
        <v/>
      </c>
      <c r="M28">
        <f>(-K28+J28*D$10*D$9)/(1+D$8)^$A28</f>
        <v/>
      </c>
    </row>
    <row r="29">
      <c r="A29" t="n">
        <v>10</v>
      </c>
      <c r="B29">
        <f>IF(AND(($A29-B$11)&gt;=1,($A29-B$11)&lt;=B$7),B$17*MIN(($A29-B$11)/B$6,1),0)</f>
        <v/>
      </c>
      <c r="C29" t="n">
        <v>0</v>
      </c>
      <c r="D29">
        <f>(-C29+B29*B$10*(B$9-B$12)-IF($A29=B$11,B$13*B$10,0))/(1+B$8)^$A29</f>
        <v/>
      </c>
      <c r="E29">
        <f>(-C29+B29*B$10*B$9)/(1+B$8)^$A29</f>
        <v/>
      </c>
      <c r="F29">
        <f>IF(AND(($A29-C$11)&gt;=1,($A29-C$11)&lt;=C$7),C$17*MIN(($A29-C$11)/C$6,1),0)</f>
        <v/>
      </c>
      <c r="G29" t="n">
        <v>0</v>
      </c>
      <c r="H29">
        <f>(-G29+F29*C$10*(C$9-C$12)-IF($A29=C$11,C$13*C$10,0))/(1+C$8)^$A29</f>
        <v/>
      </c>
      <c r="I29">
        <f>(-G29+F29*C$10*C$9)/(1+C$8)^$A29</f>
        <v/>
      </c>
      <c r="J29">
        <f>IF(AND(($A29-D$11)&gt;=1,($A29-D$11)&lt;=D$7),D$17*MIN(($A29-D$11)/D$6,1),0)</f>
        <v/>
      </c>
      <c r="K29" t="n">
        <v>0</v>
      </c>
      <c r="L29">
        <f>(-K29+J29*D$10*(D$9-D$12)-IF($A29=D$11,D$13*D$10,0))/(1+D$8)^$A29</f>
        <v/>
      </c>
      <c r="M29">
        <f>(-K29+J29*D$10*D$9)/(1+D$8)^$A29</f>
        <v/>
      </c>
    </row>
    <row r="30">
      <c r="A30" t="n">
        <v>11</v>
      </c>
      <c r="B30">
        <f>IF(AND(($A30-B$11)&gt;=1,($A30-B$11)&lt;=B$7),B$17*MIN(($A30-B$11)/B$6,1),0)</f>
        <v/>
      </c>
      <c r="C30" t="n">
        <v>0</v>
      </c>
      <c r="D30">
        <f>(-C30+B30*B$10*(B$9-B$12)-IF($A30=B$11,B$13*B$10,0))/(1+B$8)^$A30</f>
        <v/>
      </c>
      <c r="E30">
        <f>(-C30+B30*B$10*B$9)/(1+B$8)^$A30</f>
        <v/>
      </c>
      <c r="F30">
        <f>IF(AND(($A30-C$11)&gt;=1,($A30-C$11)&lt;=C$7),C$17*MIN(($A30-C$11)/C$6,1),0)</f>
        <v/>
      </c>
      <c r="G30" t="n">
        <v>0</v>
      </c>
      <c r="H30">
        <f>(-G30+F30*C$10*(C$9-C$12)-IF($A30=C$11,C$13*C$10,0))/(1+C$8)^$A30</f>
        <v/>
      </c>
      <c r="I30">
        <f>(-G30+F30*C$10*C$9)/(1+C$8)^$A30</f>
        <v/>
      </c>
      <c r="J30">
        <f>IF(AND(($A30-D$11)&gt;=1,($A30-D$11)&lt;=D$7),D$17*MIN(($A30-D$11)/D$6,1),0)</f>
        <v/>
      </c>
      <c r="K30" t="n">
        <v>0</v>
      </c>
      <c r="L30">
        <f>(-K30+J30*D$10*(D$9-D$12)-IF($A30=D$11,D$13*D$10,0))/(1+D$8)^$A30</f>
        <v/>
      </c>
      <c r="M30">
        <f>(-K30+J30*D$10*D$9)/(1+D$8)^$A30</f>
        <v/>
      </c>
    </row>
    <row r="31">
      <c r="A31" t="n">
        <v>12</v>
      </c>
      <c r="B31">
        <f>IF(AND(($A31-B$11)&gt;=1,($A31-B$11)&lt;=B$7),B$17*MIN(($A31-B$11)/B$6,1),0)</f>
        <v/>
      </c>
      <c r="C31" t="n">
        <v>0</v>
      </c>
      <c r="D31">
        <f>(-C31+B31*B$10*(B$9-B$12)-IF($A31=B$11,B$13*B$10,0))/(1+B$8)^$A31</f>
        <v/>
      </c>
      <c r="E31">
        <f>(-C31+B31*B$10*B$9)/(1+B$8)^$A31</f>
        <v/>
      </c>
      <c r="F31">
        <f>IF(AND(($A31-C$11)&gt;=1,($A31-C$11)&lt;=C$7),C$17*MIN(($A31-C$11)/C$6,1),0)</f>
        <v/>
      </c>
      <c r="G31" t="n">
        <v>0</v>
      </c>
      <c r="H31">
        <f>(-G31+F31*C$10*(C$9-C$12)-IF($A31=C$11,C$13*C$10,0))/(1+C$8)^$A31</f>
        <v/>
      </c>
      <c r="I31">
        <f>(-G31+F31*C$10*C$9)/(1+C$8)^$A31</f>
        <v/>
      </c>
      <c r="J31">
        <f>IF(AND(($A31-D$11)&gt;=1,($A31-D$11)&lt;=D$7),D$17*MIN(($A31-D$11)/D$6,1),0)</f>
        <v/>
      </c>
      <c r="K31" t="n">
        <v>0</v>
      </c>
      <c r="L31">
        <f>(-K31+J31*D$10*(D$9-D$12)-IF($A31=D$11,D$13*D$10,0))/(1+D$8)^$A31</f>
        <v/>
      </c>
      <c r="M31">
        <f>(-K31+J31*D$10*D$9)/(1+D$8)^$A31</f>
        <v/>
      </c>
    </row>
    <row r="32">
      <c r="A32" t="n">
        <v>13</v>
      </c>
      <c r="B32">
        <f>IF(AND(($A32-B$11)&gt;=1,($A32-B$11)&lt;=B$7),B$17*MIN(($A32-B$11)/B$6,1),0)</f>
        <v/>
      </c>
      <c r="C32" t="n">
        <v>0</v>
      </c>
      <c r="D32">
        <f>(-C32+B32*B$10*(B$9-B$12)-IF($A32=B$11,B$13*B$10,0))/(1+B$8)^$A32</f>
        <v/>
      </c>
      <c r="E32">
        <f>(-C32+B32*B$10*B$9)/(1+B$8)^$A32</f>
        <v/>
      </c>
      <c r="F32">
        <f>IF(AND(($A32-C$11)&gt;=1,($A32-C$11)&lt;=C$7),C$17*MIN(($A32-C$11)/C$6,1),0)</f>
        <v/>
      </c>
      <c r="G32" t="n">
        <v>0</v>
      </c>
      <c r="H32">
        <f>(-G32+F32*C$10*(C$9-C$12)-IF($A32=C$11,C$13*C$10,0))/(1+C$8)^$A32</f>
        <v/>
      </c>
      <c r="I32">
        <f>(-G32+F32*C$10*C$9)/(1+C$8)^$A32</f>
        <v/>
      </c>
      <c r="J32">
        <f>IF(AND(($A32-D$11)&gt;=1,($A32-D$11)&lt;=D$7),D$17*MIN(($A32-D$11)/D$6,1),0)</f>
        <v/>
      </c>
      <c r="K32" t="n">
        <v>0</v>
      </c>
      <c r="L32">
        <f>(-K32+J32*D$10*(D$9-D$12)-IF($A32=D$11,D$13*D$10,0))/(1+D$8)^$A32</f>
        <v/>
      </c>
      <c r="M32">
        <f>(-K32+J32*D$10*D$9)/(1+D$8)^$A32</f>
        <v/>
      </c>
    </row>
    <row r="33">
      <c r="A33" t="n">
        <v>14</v>
      </c>
      <c r="B33">
        <f>IF(AND(($A33-B$11)&gt;=1,($A33-B$11)&lt;=B$7),B$17*MIN(($A33-B$11)/B$6,1),0)</f>
        <v/>
      </c>
      <c r="C33" t="n">
        <v>0</v>
      </c>
      <c r="D33">
        <f>(-C33+B33*B$10*(B$9-B$12)-IF($A33=B$11,B$13*B$10,0))/(1+B$8)^$A33</f>
        <v/>
      </c>
      <c r="E33">
        <f>(-C33+B33*B$10*B$9)/(1+B$8)^$A33</f>
        <v/>
      </c>
      <c r="F33">
        <f>IF(AND(($A33-C$11)&gt;=1,($A33-C$11)&lt;=C$7),C$17*MIN(($A33-C$11)/C$6,1),0)</f>
        <v/>
      </c>
      <c r="G33" t="n">
        <v>0</v>
      </c>
      <c r="H33">
        <f>(-G33+F33*C$10*(C$9-C$12)-IF($A33=C$11,C$13*C$10,0))/(1+C$8)^$A33</f>
        <v/>
      </c>
      <c r="I33">
        <f>(-G33+F33*C$10*C$9)/(1+C$8)^$A33</f>
        <v/>
      </c>
      <c r="J33">
        <f>IF(AND(($A33-D$11)&gt;=1,($A33-D$11)&lt;=D$7),D$17*MIN(($A33-D$11)/D$6,1),0)</f>
        <v/>
      </c>
      <c r="K33" t="n">
        <v>0</v>
      </c>
      <c r="L33">
        <f>(-K33+J33*D$10*(D$9-D$12)-IF($A33=D$11,D$13*D$10,0))/(1+D$8)^$A33</f>
        <v/>
      </c>
      <c r="M33">
        <f>(-K33+J33*D$10*D$9)/(1+D$8)^$A33</f>
        <v/>
      </c>
    </row>
    <row r="34">
      <c r="A34" t="n">
        <v>15</v>
      </c>
      <c r="B34">
        <f>IF(AND(($A34-B$11)&gt;=1,($A34-B$11)&lt;=B$7),B$17*MIN(($A34-B$11)/B$6,1),0)</f>
        <v/>
      </c>
      <c r="C34" t="n">
        <v>0</v>
      </c>
      <c r="D34">
        <f>(-C34+B34*B$10*(B$9-B$12)-IF($A34=B$11,B$13*B$10,0))/(1+B$8)^$A34</f>
        <v/>
      </c>
      <c r="E34">
        <f>(-C34+B34*B$10*B$9)/(1+B$8)^$A34</f>
        <v/>
      </c>
      <c r="F34">
        <f>IF(AND(($A34-C$11)&gt;=1,($A34-C$11)&lt;=C$7),C$17*MIN(($A34-C$11)/C$6,1),0)</f>
        <v/>
      </c>
      <c r="G34" t="n">
        <v>0</v>
      </c>
      <c r="H34">
        <f>(-G34+F34*C$10*(C$9-C$12)-IF($A34=C$11,C$13*C$10,0))/(1+C$8)^$A34</f>
        <v/>
      </c>
      <c r="I34">
        <f>(-G34+F34*C$10*C$9)/(1+C$8)^$A34</f>
        <v/>
      </c>
      <c r="J34">
        <f>IF(AND(($A34-D$11)&gt;=1,($A34-D$11)&lt;=D$7),D$17*MIN(($A34-D$11)/D$6,1),0)</f>
        <v/>
      </c>
      <c r="K34" t="n">
        <v>0</v>
      </c>
      <c r="L34">
        <f>(-K34+J34*D$10*(D$9-D$12)-IF($A34=D$11,D$13*D$10,0))/(1+D$8)^$A34</f>
        <v/>
      </c>
      <c r="M34">
        <f>(-K34+J34*D$10*D$9)/(1+D$8)^$A34</f>
        <v/>
      </c>
    </row>
    <row r="35">
      <c r="A35" t="n">
        <v>16</v>
      </c>
      <c r="B35">
        <f>IF(AND(($A35-B$11)&gt;=1,($A35-B$11)&lt;=B$7),B$17*MIN(($A35-B$11)/B$6,1),0)</f>
        <v/>
      </c>
      <c r="C35" t="n">
        <v>0</v>
      </c>
      <c r="D35">
        <f>(-C35+B35*B$10*(B$9-B$12)-IF($A35=B$11,B$13*B$10,0))/(1+B$8)^$A35</f>
        <v/>
      </c>
      <c r="E35">
        <f>(-C35+B35*B$10*B$9)/(1+B$8)^$A35</f>
        <v/>
      </c>
      <c r="F35">
        <f>IF(AND(($A35-C$11)&gt;=1,($A35-C$11)&lt;=C$7),C$17*MIN(($A35-C$11)/C$6,1),0)</f>
        <v/>
      </c>
      <c r="G35" t="n">
        <v>0</v>
      </c>
      <c r="H35">
        <f>(-G35+F35*C$10*(C$9-C$12)-IF($A35=C$11,C$13*C$10,0))/(1+C$8)^$A35</f>
        <v/>
      </c>
      <c r="I35">
        <f>(-G35+F35*C$10*C$9)/(1+C$8)^$A35</f>
        <v/>
      </c>
      <c r="J35">
        <f>IF(AND(($A35-D$11)&gt;=1,($A35-D$11)&lt;=D$7),D$17*MIN(($A35-D$11)/D$6,1),0)</f>
        <v/>
      </c>
      <c r="K35" t="n">
        <v>0</v>
      </c>
      <c r="L35">
        <f>(-K35+J35*D$10*(D$9-D$12)-IF($A35=D$11,D$13*D$10,0))/(1+D$8)^$A35</f>
        <v/>
      </c>
      <c r="M35">
        <f>(-K35+J35*D$10*D$9)/(1+D$8)^$A35</f>
        <v/>
      </c>
    </row>
    <row r="36">
      <c r="A36" t="n">
        <v>17</v>
      </c>
      <c r="B36">
        <f>IF(AND(($A36-B$11)&gt;=1,($A36-B$11)&lt;=B$7),B$17*MIN(($A36-B$11)/B$6,1),0)</f>
        <v/>
      </c>
      <c r="C36" t="n">
        <v>0</v>
      </c>
      <c r="D36">
        <f>(-C36+B36*B$10*(B$9-B$12)-IF($A36=B$11,B$13*B$10,0))/(1+B$8)^$A36</f>
        <v/>
      </c>
      <c r="E36">
        <f>(-C36+B36*B$10*B$9)/(1+B$8)^$A36</f>
        <v/>
      </c>
      <c r="F36">
        <f>IF(AND(($A36-C$11)&gt;=1,($A36-C$11)&lt;=C$7),C$17*MIN(($A36-C$11)/C$6,1),0)</f>
        <v/>
      </c>
      <c r="G36" t="n">
        <v>0</v>
      </c>
      <c r="H36">
        <f>(-G36+F36*C$10*(C$9-C$12)-IF($A36=C$11,C$13*C$10,0))/(1+C$8)^$A36</f>
        <v/>
      </c>
      <c r="I36">
        <f>(-G36+F36*C$10*C$9)/(1+C$8)^$A36</f>
        <v/>
      </c>
      <c r="J36">
        <f>IF(AND(($A36-D$11)&gt;=1,($A36-D$11)&lt;=D$7),D$17*MIN(($A36-D$11)/D$6,1),0)</f>
        <v/>
      </c>
      <c r="K36" t="n">
        <v>0</v>
      </c>
      <c r="L36">
        <f>(-K36+J36*D$10*(D$9-D$12)-IF($A36=D$11,D$13*D$10,0))/(1+D$8)^$A36</f>
        <v/>
      </c>
      <c r="M36">
        <f>(-K36+J36*D$10*D$9)/(1+D$8)^$A36</f>
        <v/>
      </c>
    </row>
    <row r="37">
      <c r="A37" t="n">
        <v>18</v>
      </c>
      <c r="B37">
        <f>IF(AND(($A37-B$11)&gt;=1,($A37-B$11)&lt;=B$7),B$17*MIN(($A37-B$11)/B$6,1),0)</f>
        <v/>
      </c>
      <c r="C37" t="n">
        <v>0</v>
      </c>
      <c r="D37">
        <f>(-C37+B37*B$10*(B$9-B$12)-IF($A37=B$11,B$13*B$10,0))/(1+B$8)^$A37</f>
        <v/>
      </c>
      <c r="E37">
        <f>(-C37+B37*B$10*B$9)/(1+B$8)^$A37</f>
        <v/>
      </c>
      <c r="F37">
        <f>IF(AND(($A37-C$11)&gt;=1,($A37-C$11)&lt;=C$7),C$17*MIN(($A37-C$11)/C$6,1),0)</f>
        <v/>
      </c>
      <c r="G37" t="n">
        <v>0</v>
      </c>
      <c r="H37">
        <f>(-G37+F37*C$10*(C$9-C$12)-IF($A37=C$11,C$13*C$10,0))/(1+C$8)^$A37</f>
        <v/>
      </c>
      <c r="I37">
        <f>(-G37+F37*C$10*C$9)/(1+C$8)^$A37</f>
        <v/>
      </c>
      <c r="J37">
        <f>IF(AND(($A37-D$11)&gt;=1,($A37-D$11)&lt;=D$7),D$17*MIN(($A37-D$11)/D$6,1),0)</f>
        <v/>
      </c>
      <c r="K37" t="n">
        <v>0</v>
      </c>
      <c r="L37">
        <f>(-K37+J37*D$10*(D$9-D$12)-IF($A37=D$11,D$13*D$10,0))/(1+D$8)^$A37</f>
        <v/>
      </c>
      <c r="M37">
        <f>(-K37+J37*D$10*D$9)/(1+D$8)^$A37</f>
        <v/>
      </c>
    </row>
    <row r="39">
      <c r="A39" t="inlineStr">
        <is>
          <t>rNPV licence ($M) = sum(disc CF) - upfront</t>
        </is>
      </c>
      <c r="B39">
        <f>SUM(D20:D37)-B14</f>
        <v/>
      </c>
      <c r="C39">
        <f>SUM(H20:H37)-C14</f>
        <v/>
      </c>
      <c r="D39">
        <f>SUM(L20:L37)-D14</f>
        <v/>
      </c>
      <c r="E39" t="inlineStr">
        <is>
          <t>(columns B/C/D = Base/Bear/Bull)</t>
        </is>
      </c>
    </row>
    <row r="40">
      <c r="A40" t="inlineStr">
        <is>
          <t>rNPV acquisition ($M) = sum(disc CF) - upfront</t>
        </is>
      </c>
      <c r="B40">
        <f>SUM(E20:E37)-B15</f>
        <v/>
      </c>
      <c r="C40">
        <f>SUM(I20:I37)-C15</f>
        <v/>
      </c>
      <c r="D40">
        <f>SUM(M20:M37)-D15</f>
        <v/>
      </c>
    </row>
    <row r="42">
      <c r="A42" t="inlineStr">
        <is>
          <t>License vs acquisition: buyer perspective. Licence keeps upfront low but royalty+milestones cut value; acquisition only makes sense if seller owns ex-China/global rights outright. Availability NOT evidenced for any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2026-10-29T21:09:49Z</dcterms:created>
  <dcterms:modified xmlns:dcterms="http://purl.org/dc/terms/" xmlns:xsi="http://www.w3.org/2001/XMLSchema-instance" xsi:type="dcterms:W3CDTF">2026-10-29T21:09:49Z</dcterms:modified>
</cp:coreProperties>
</file>